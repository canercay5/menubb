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635" activeTab="1"/>
  </bookViews>
  <sheets>
    <sheet name="AKŞAM MENÜ" sheetId="1" r:id="rId1"/>
    <sheet name="KAHVALTI" sheetId="4" r:id="rId2"/>
  </sheets>
  <definedNames>
    <definedName name="_xlnm.Print_Area" localSheetId="0">'AKŞAM MENÜ'!$A$2:$AB$48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4" l="1"/>
  <c r="M11" i="4"/>
  <c r="K11" i="4"/>
  <c r="I11" i="4"/>
  <c r="G11" i="4"/>
  <c r="E11" i="4"/>
  <c r="C11" i="4"/>
  <c r="AB12" i="1" l="1"/>
  <c r="Z12" i="1"/>
  <c r="X12" i="1"/>
  <c r="V12" i="1"/>
  <c r="T12" i="1"/>
  <c r="R12" i="1"/>
  <c r="P12" i="1"/>
  <c r="N12" i="1"/>
  <c r="L12" i="1"/>
  <c r="J12" i="1"/>
  <c r="H12" i="1"/>
  <c r="F12" i="1"/>
  <c r="D12" i="1"/>
  <c r="B12" i="1"/>
  <c r="L30" i="1" l="1"/>
  <c r="J30" i="1"/>
  <c r="H30" i="1"/>
  <c r="F30" i="1"/>
  <c r="D30" i="1"/>
  <c r="B30" i="1"/>
  <c r="AB21" i="1"/>
  <c r="Z21" i="1"/>
  <c r="X21" i="1"/>
  <c r="V21" i="1"/>
  <c r="T21" i="1"/>
  <c r="R21" i="1"/>
  <c r="P21" i="1"/>
  <c r="N21" i="1"/>
  <c r="L21" i="1"/>
  <c r="J21" i="1"/>
  <c r="H21" i="1"/>
  <c r="F21" i="1"/>
  <c r="D21" i="1"/>
  <c r="B21" i="1"/>
  <c r="C20" i="4"/>
  <c r="E20" i="4"/>
  <c r="G20" i="4"/>
  <c r="I20" i="4"/>
  <c r="K20" i="4"/>
  <c r="M20" i="4"/>
  <c r="O20" i="4"/>
  <c r="C29" i="4"/>
  <c r="E29" i="4"/>
  <c r="G29" i="4"/>
</calcChain>
</file>

<file path=xl/sharedStrings.xml><?xml version="1.0" encoding="utf-8"?>
<sst xmlns="http://schemas.openxmlformats.org/spreadsheetml/2006/main" count="444" uniqueCount="149">
  <si>
    <t>MENÜ</t>
  </si>
  <si>
    <t>KAL</t>
  </si>
  <si>
    <t>SALATBAR</t>
  </si>
  <si>
    <t>TOPLAM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</si>
  <si>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</si>
  <si>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</si>
  <si>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</si>
  <si>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</si>
  <si>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</si>
  <si>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</si>
  <si>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</si>
  <si>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</si>
  <si>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</si>
  <si>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</si>
  <si>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</si>
  <si>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</si>
  <si>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</si>
  <si>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</si>
  <si>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</si>
  <si>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</si>
  <si>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SİYAH ZEYTİN/YEŞİL ZEYTİN</t>
  </si>
  <si>
    <t>DOMATES/SALATALIK</t>
  </si>
  <si>
    <t>ALERJEN UYARILARI</t>
  </si>
  <si>
    <t>BEYAZ   PEYNİR(4)</t>
  </si>
  <si>
    <t>MERCİMEK ÇORBASI (1,8)</t>
  </si>
  <si>
    <t>MAYDANOZLU KÖZLENMİŞ KIRMIZI BİBER SALATASI (12)</t>
  </si>
  <si>
    <t>KÖZ SOGAN SALATASI</t>
  </si>
  <si>
    <t>GAZLI İÇECEK</t>
  </si>
  <si>
    <t>HAYDARİ (4)</t>
  </si>
  <si>
    <t>EZOGELİN ÇORBA (1,8)</t>
  </si>
  <si>
    <t>DÜĞÜN ÇORBA (1,3,4,8)</t>
  </si>
  <si>
    <t>PANCAR TURŞUSU (12)</t>
  </si>
  <si>
    <t>PATATES SALATASI (1,12)</t>
  </si>
  <si>
    <t>SUMAKLI SOĞAN</t>
  </si>
  <si>
    <t>MAYDANOZLU KÖZLENMİŞ PATLICAN SALATASI (12)</t>
  </si>
  <si>
    <t>ŞAKŞUKA</t>
  </si>
  <si>
    <t>SÜTLÜ TATLI (1,3,4)</t>
  </si>
  <si>
    <t>AYRAN (4)</t>
  </si>
  <si>
    <t>Z.YAĞLI KABAK KALYE (1)</t>
  </si>
  <si>
    <t>ÇOBAN SALATASI</t>
  </si>
  <si>
    <t>TEL ŞEHRİYELİ PİRİNÇ PİLAVI (1)</t>
  </si>
  <si>
    <t>İSKENDER (1,3,4)</t>
  </si>
  <si>
    <t xml:space="preserve"> </t>
  </si>
  <si>
    <t>DOM. SOSLU PATATES KIZARTMASI (1)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</si>
  <si>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</si>
  <si>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KIRMIZI LAHANA(12)</t>
  </si>
  <si>
    <t>KARIŞIK TURŞU (12)</t>
  </si>
  <si>
    <t>GAVURDAĞI SALATASI (7,11)</t>
  </si>
  <si>
    <t>YOĞURT (4)</t>
  </si>
  <si>
    <t>Z.YAĞLI ORBİT FASULYE (1,8)</t>
  </si>
  <si>
    <t>PEMBE SULTAN (4,12)</t>
  </si>
  <si>
    <t>SEBZE ÇORBASI (1,3,4,8)</t>
  </si>
  <si>
    <t>SADE PİRİNÇ PİLAVI (1)</t>
  </si>
  <si>
    <t>KORNİŞON TURŞU (12)</t>
  </si>
  <si>
    <t>MEYVE (KAVUN)</t>
  </si>
  <si>
    <t>MANTI (1,3,4)</t>
  </si>
  <si>
    <t>İBB ÖĞRENCİ YURTLARI EYLÜL AYI KAHVALTI MENÜSÜ</t>
  </si>
  <si>
    <t xml:space="preserve"> İBB ÖĞRENCİ YURTLARI EYLÜL AYI AKŞAM YEMEĞİ MENÜSÜ</t>
  </si>
  <si>
    <t>CACIK (4)</t>
  </si>
  <si>
    <t>HUMUS (1,8,14)</t>
  </si>
  <si>
    <t>YOĞURTLU BİBER BORANİ (4)</t>
  </si>
  <si>
    <t>Z.YAĞLI TAZE FASULYE (1,8)</t>
  </si>
  <si>
    <t>HAVUÇ DİLİM BAKLAVA  (1,3,4,7,8,11)</t>
  </si>
  <si>
    <t>HÜNKAR BEĞENDİ (1,3,4,7,11)</t>
  </si>
  <si>
    <t>DOM.SOSLU KARIŞIK KIZART. (BİBER-PATATES) (1)</t>
  </si>
  <si>
    <t>FIRINDA TAVUK BUT / PATATES KROKET (1,4)</t>
  </si>
  <si>
    <t>ŞEKERPARE (1,3,7,8,11)</t>
  </si>
  <si>
    <t>YEŞİL VE KAPYA BİBERLİ TAVUK SOTE</t>
  </si>
  <si>
    <t>PİYAZ (1,3,8,14)</t>
  </si>
  <si>
    <t>MEYVE (ARMUT)</t>
  </si>
  <si>
    <t>MEYVE (MUZ)</t>
  </si>
  <si>
    <t xml:space="preserve"> IZGARA TAVUK GÖĞÜS / RENKLİ BİBERLİ MANTAR KAVURMA (1,2,3,4,7,11,13)</t>
  </si>
  <si>
    <t>HAMBURGER / ÇITIR PATATES (1,3,4,8,12,14)</t>
  </si>
  <si>
    <t>TAZE FASULYE (8)</t>
  </si>
  <si>
    <t>MANTAR SOSLU BİFTEK / PATATES PÜRESİ (1,2,3,4,13)</t>
  </si>
  <si>
    <t>PİDELİ KÖFTE IZGARA (1,3,4)</t>
  </si>
  <si>
    <t xml:space="preserve">PATATES PÜRESİ YATAĞINDA ET SOTE </t>
  </si>
  <si>
    <t>KADAYIF (1,3,4,11)</t>
  </si>
  <si>
    <t>KARIŞIK SALATA(KIRMIZI LAHANA-HAVUÇ) (12)</t>
  </si>
  <si>
    <t>SOĞUK ÇAY</t>
  </si>
  <si>
    <t>NAPOLİTEN SOSLU SPAGETTİ (1,3,4)</t>
  </si>
  <si>
    <t>Z.YAĞLI YAPRAK SARMA (1,7,8,10,11,12,14)</t>
  </si>
  <si>
    <t>SADE KUSKUS MAKARNA (1)</t>
  </si>
  <si>
    <t>FESLEĞEN SOSLU SPAGETTİ (1,3,4)</t>
  </si>
  <si>
    <t>FIRINLANMIŞ BABY PATATES  (1,3,4,12)</t>
  </si>
  <si>
    <t>ÇERİ DOMATES-SALATALIK / KABAK ÇEKİRDEKLİ MISIRLI AKDENİZ YEŞİLLİĞİ / KUŞ ÜZÜMLÜ HAVUÇ SALATASI  (7,8,11,12)</t>
  </si>
  <si>
    <t>SUSAMLI YEŞİL SOYA FASULYESİ / SADE BASMATİ (1,3,4,8,14)</t>
  </si>
  <si>
    <t>FALAFEL / SOS (1,3,4,8,10,11,12,14)</t>
  </si>
  <si>
    <t>HAVUÇ TARATOR (3,4)</t>
  </si>
  <si>
    <t>BEZELYELİ PİRİNÇ PİLAVI (1,8)</t>
  </si>
  <si>
    <t>KURU CACIK (4)</t>
  </si>
  <si>
    <t>BEYAZ LAHANA TURŞUSU (12)</t>
  </si>
  <si>
    <t>ARPA ŞEHRİYELİ PİRİNÇ PİLAVI (1)</t>
  </si>
  <si>
    <t>LİMONATA</t>
  </si>
  <si>
    <t>FINDIKLI KEMALPAŞA TATLISI / KAYMAK (1,3,4,7,11,12,14)</t>
  </si>
  <si>
    <t>NOHUTLU PİRİNÇ PİLAVI (1,8)</t>
  </si>
  <si>
    <t>NAPOLİTEN SOSLU MAKARNA (1,3,4)</t>
  </si>
  <si>
    <t>ARPACIK SOĞANLI TAVUK YAHNİ (1,3,4,8)</t>
  </si>
  <si>
    <t>ETLİ BEZELYE (1,3,4,8)</t>
  </si>
  <si>
    <t>SARI BURMA (1,3,4,7,8,11)</t>
  </si>
  <si>
    <t>DEREOTLU YOĞURT SALATASI (3,4)</t>
  </si>
  <si>
    <t>ET DÖNER / FIRINLANMIŞ ELMA DİLİM PATATES (1,4)</t>
  </si>
  <si>
    <t>TAS KEBAP (1,8)</t>
  </si>
  <si>
    <t>FIRINDA GARNİTÜRLÜ TAVUK BAGET (1,4)</t>
  </si>
  <si>
    <t xml:space="preserve"> BİBER KIZART.</t>
  </si>
  <si>
    <t>ÖRGÜ PEYNİR (4)</t>
  </si>
  <si>
    <t>KAŞAR PEYNİR (4)</t>
  </si>
  <si>
    <t>SİMİT (1,3,4,14)</t>
  </si>
  <si>
    <t>ÇEÇİL PEYNİR (4)</t>
  </si>
  <si>
    <t>LABNE PEYNİR (4)</t>
  </si>
  <si>
    <t>KAKAOLU FINDIK EZMESİ (1,4,8,11)</t>
  </si>
  <si>
    <t>VİŞNE REÇELİ (12)</t>
  </si>
  <si>
    <t>TAHİN PEKMEZ (14)</t>
  </si>
  <si>
    <t>BAL</t>
  </si>
  <si>
    <t>GÜL REÇELİ (12)</t>
  </si>
  <si>
    <t>HELVA(1,4,14)</t>
  </si>
  <si>
    <t>PATATES HAŞLAMA (1,12)</t>
  </si>
  <si>
    <t>AÇMA (1,3,4,14)</t>
  </si>
  <si>
    <t>SU BÖREĞİ(1,3,4)</t>
  </si>
  <si>
    <t>TEREYAĞ(4)</t>
  </si>
  <si>
    <t>PATATESLİ GÜL BÖREĞİ (1,3,4,14)</t>
  </si>
  <si>
    <t>POĞAÇA(1,3,4,14)</t>
  </si>
  <si>
    <t>HAŞLANMIŞ YUMURTA (3)</t>
  </si>
  <si>
    <t>SUCUKLU YUMURTA (3)</t>
  </si>
  <si>
    <t>SADE OMLET (3)</t>
  </si>
  <si>
    <t>MENEMEN (3)</t>
  </si>
  <si>
    <t>PEYNİRLİ OMLET (3,4)</t>
  </si>
  <si>
    <t>PATATES KIZARTMASI (1)</t>
  </si>
  <si>
    <t>PEYNİRLİ GÜL BÖREĞİ (1,3,4,14)</t>
  </si>
  <si>
    <t>KAYISI REÇELİ (12)</t>
  </si>
  <si>
    <t>ÇİLEK REÇELİ (12)</t>
  </si>
  <si>
    <t>KREM PEYNİR (4)</t>
  </si>
  <si>
    <t>KAŞARLI OMLET (3,4)</t>
  </si>
  <si>
    <t>PEYNİRLİ KALEM BÖREK(1,3,4)</t>
  </si>
  <si>
    <t>MEVSİM TÜRLÜ (8)</t>
  </si>
  <si>
    <t>JAMBON (1,3,4,6,8,9)</t>
  </si>
  <si>
    <t>SALAM (1,3,4,6,8,9)</t>
  </si>
  <si>
    <t>ETLİ KURU FASULYE (1,8)</t>
  </si>
  <si>
    <t>KIYMALI PİRİNÇ ÇORBASI (1,3,4,8)</t>
  </si>
  <si>
    <t>MISIR ÇORBASI (1,3,4,8)</t>
  </si>
  <si>
    <t>ŞEHRİYE ÇORBASI (1,3,4,8)</t>
  </si>
  <si>
    <t>KROTONLU ÇORBA (1,3,4,8)</t>
  </si>
  <si>
    <t>DOMATES ÇORBASI (1,3,4,8)</t>
  </si>
  <si>
    <t>VİŞNELİ YAPRAK SARMA (1,7,8,10,11,12,14)</t>
  </si>
  <si>
    <t>DEREOTLU MISIRLI YEŞİL ZEYTİN SALATASI (8)</t>
  </si>
  <si>
    <t>KARIŞIK SALATA (KIRMIZI LAHANA-MISIRLI YEŞİL ZEYTİN) (8,12)</t>
  </si>
  <si>
    <t>MISIRLI PİRİNÇ PİLAVI (1,8)</t>
  </si>
  <si>
    <t>SOSLU BİBER KIZART.</t>
  </si>
  <si>
    <t>SÖĞÜŞ DİLİM (DOM-SALATALIK)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</si>
</sst>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d&quot;, &quot;mmmm&quot; &quot;dd&quot;, &quot;yyyy"/>
  </numFmts>
  <fonts count="39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18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b/>
      <sz val="16"/>
      <color indexed="8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sz val="11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b/>
      <u/>
      <sz val="20"/>
      <color rgb="FF000000"/>
      <name val="Calibri"/>
      <family val="2"/>
      <charset val="162"/>
    </font>
    <font>
      <b/>
      <sz val="21"/>
      <color rgb="FFFF0000"/>
      <name val="Calibri"/>
      <family val="2"/>
      <charset val="162"/>
    </font>
    <font>
      <b/>
      <sz val="21"/>
      <color indexed="8"/>
      <name val="Calibri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27"/>
      <color indexed="8"/>
      <name val="Calibri"/>
      <family val="2"/>
      <charset val="162"/>
    </font>
    <font>
      <b/>
      <sz val="27"/>
      <color rgb="FFFF0000"/>
      <name val="Calibri"/>
      <family val="2"/>
      <charset val="162"/>
    </font>
    <font>
      <b/>
      <sz val="35"/>
      <color indexed="8"/>
      <name val="Calibri"/>
      <family val="2"/>
      <charset val="162"/>
    </font>
    <font>
      <b/>
      <sz val="26"/>
      <color rgb="FF000000"/>
      <name val="Calibri"/>
      <family val="2"/>
      <charset val="162"/>
    </font>
    <font>
      <b/>
      <sz val="38"/>
      <color rgb="FF000000"/>
      <name val="Calibri"/>
      <family val="2"/>
      <charset val="162"/>
    </font>
    <font>
      <b/>
      <sz val="38"/>
      <color rgb="FFFF0000"/>
      <name val="Calibri"/>
      <family val="2"/>
      <charset val="162"/>
    </font>
    <font>
      <b/>
      <sz val="38"/>
      <color indexed="8"/>
      <name val="Calibri"/>
      <family val="2"/>
      <charset val="162"/>
    </font>
    <font>
      <b/>
      <sz val="38"/>
      <color theme="1"/>
      <name val="Calibri"/>
      <family val="2"/>
      <charset val="162"/>
    </font>
    <font>
      <b/>
      <sz val="38"/>
      <name val="Calibri"/>
      <family val="2"/>
      <charset val="162"/>
    </font>
    <font>
      <b/>
      <sz val="45"/>
      <color indexed="13"/>
      <name val="Calibri"/>
      <family val="2"/>
      <charset val="162"/>
    </font>
    <font>
      <b/>
      <sz val="45"/>
      <color rgb="FFFF0000"/>
      <name val="Calibri"/>
      <family val="2"/>
      <charset val="162"/>
    </font>
    <font>
      <b/>
      <sz val="55"/>
      <color indexed="12"/>
      <name val="Calibri"/>
      <family val="2"/>
      <charset val="162"/>
    </font>
    <font>
      <b/>
      <sz val="80"/>
      <color rgb="FF000000"/>
      <name val="Calibri"/>
      <family val="2"/>
      <charset val="162"/>
    </font>
    <font>
      <b/>
      <sz val="80"/>
      <color indexed="8"/>
      <name val="Calibri"/>
      <family val="2"/>
      <charset val="162"/>
    </font>
    <font>
      <b/>
      <sz val="50"/>
      <color indexed="8"/>
      <name val="Calibri"/>
      <family val="2"/>
      <charset val="162"/>
    </font>
    <font>
      <b/>
      <sz val="50"/>
      <color rgb="FFFF0000"/>
      <name val="Calibri"/>
      <family val="2"/>
      <charset val="162"/>
    </font>
    <font>
      <sz val="50"/>
      <color indexed="8"/>
      <name val="Calibri"/>
      <family val="2"/>
      <charset val="162"/>
    </font>
    <font>
      <sz val="50"/>
      <color rgb="FFFF0000"/>
      <name val="Calibri"/>
      <family val="2"/>
      <charset val="162"/>
    </font>
    <font>
      <b/>
      <u/>
      <sz val="21"/>
      <color rgb="FF000000"/>
      <name val="Calibri"/>
      <family val="2"/>
      <charset val="162"/>
    </font>
    <font>
      <b/>
      <u/>
      <sz val="98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9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11" fillId="0" borderId="0"/>
    <xf numFmtId="0" fontId="10" fillId="0" borderId="0"/>
    <xf numFmtId="0" fontId="11" fillId="0" borderId="0"/>
    <xf numFmtId="0" fontId="1" fillId="0" borderId="0" applyNumberFormat="0" applyFill="0" applyBorder="0" applyProtection="0"/>
  </cellStyleXfs>
  <cellXfs count="278">
    <xf numFmtId="0" fontId="0" fillId="0" borderId="0" xfId="0"/>
    <xf numFmtId="0" fontId="13" fillId="2" borderId="0" xfId="4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0" borderId="0" xfId="4" applyNumberFormat="1" applyFill="1"/>
    <xf numFmtId="0" fontId="1" fillId="0" borderId="7" xfId="4" applyFill="1" applyBorder="1"/>
    <xf numFmtId="0" fontId="1" fillId="0" borderId="10" xfId="4" applyFill="1" applyBorder="1"/>
    <xf numFmtId="0" fontId="1" fillId="0" borderId="2" xfId="4" applyFill="1" applyBorder="1"/>
    <xf numFmtId="0" fontId="1" fillId="0" borderId="5" xfId="4" applyFill="1" applyBorder="1"/>
    <xf numFmtId="0" fontId="12" fillId="0" borderId="0" xfId="4" applyNumberFormat="1" applyFont="1" applyFill="1"/>
    <xf numFmtId="0" fontId="0" fillId="2" borderId="0" xfId="0" applyNumberFormat="1" applyFill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2" fillId="2" borderId="0" xfId="0" applyNumberFormat="1" applyFont="1" applyFill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49" fontId="4" fillId="3" borderId="9" xfId="4" applyNumberFormat="1" applyFont="1" applyFill="1" applyBorder="1" applyAlignment="1">
      <alignment horizontal="left" vertical="center"/>
    </xf>
    <xf numFmtId="1" fontId="5" fillId="3" borderId="4" xfId="4" applyNumberFormat="1" applyFont="1" applyFill="1" applyBorder="1" applyAlignment="1">
      <alignment horizontal="center" vertical="center"/>
    </xf>
    <xf numFmtId="49" fontId="4" fillId="3" borderId="4" xfId="4" applyNumberFormat="1" applyFont="1" applyFill="1" applyBorder="1" applyAlignment="1">
      <alignment horizontal="left" vertical="center"/>
    </xf>
    <xf numFmtId="0" fontId="4" fillId="3" borderId="4" xfId="4" applyFont="1" applyFill="1" applyBorder="1" applyAlignment="1">
      <alignment horizontal="left" vertical="center"/>
    </xf>
    <xf numFmtId="0" fontId="4" fillId="3" borderId="9" xfId="4" applyFont="1" applyFill="1" applyBorder="1" applyAlignment="1">
      <alignment horizontal="left" vertical="center"/>
    </xf>
    <xf numFmtId="164" fontId="3" fillId="4" borderId="13" xfId="4" applyNumberFormat="1" applyFont="1" applyFill="1" applyBorder="1" applyAlignment="1">
      <alignment horizontal="center" vertical="center"/>
    </xf>
    <xf numFmtId="49" fontId="5" fillId="4" borderId="4" xfId="4" applyNumberFormat="1" applyFont="1" applyFill="1" applyBorder="1" applyAlignment="1">
      <alignment horizontal="center" vertical="center"/>
    </xf>
    <xf numFmtId="164" fontId="3" fillId="4" borderId="12" xfId="4" applyNumberFormat="1" applyFont="1" applyFill="1" applyBorder="1" applyAlignment="1">
      <alignment horizontal="center" vertical="center"/>
    </xf>
    <xf numFmtId="164" fontId="3" fillId="4" borderId="4" xfId="4" applyNumberFormat="1" applyFont="1" applyFill="1" applyBorder="1" applyAlignment="1">
      <alignment horizontal="center" vertical="center"/>
    </xf>
    <xf numFmtId="164" fontId="3" fillId="4" borderId="9" xfId="4" applyNumberFormat="1" applyFont="1" applyFill="1" applyBorder="1" applyAlignment="1">
      <alignment horizontal="center" vertical="center"/>
    </xf>
    <xf numFmtId="49" fontId="5" fillId="4" borderId="4" xfId="4" applyNumberFormat="1" applyFont="1" applyFill="1" applyBorder="1" applyAlignment="1">
      <alignment horizontal="center" vertical="center" wrapText="1"/>
    </xf>
    <xf numFmtId="49" fontId="5" fillId="4" borderId="13" xfId="4" applyNumberFormat="1" applyFont="1" applyFill="1" applyBorder="1" applyAlignment="1">
      <alignment horizontal="center" vertical="center"/>
    </xf>
    <xf numFmtId="0" fontId="0" fillId="2" borderId="15" xfId="0" applyNumberForma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49" fontId="4" fillId="2" borderId="14" xfId="4" applyNumberFormat="1" applyFont="1" applyFill="1" applyBorder="1" applyAlignment="1">
      <alignment horizontal="center" vertical="center"/>
    </xf>
    <xf numFmtId="49" fontId="4" fillId="3" borderId="8" xfId="4" applyNumberFormat="1" applyFont="1" applyFill="1" applyBorder="1" applyAlignment="1">
      <alignment horizontal="left" vertical="center"/>
    </xf>
    <xf numFmtId="164" fontId="3" fillId="4" borderId="8" xfId="4" applyNumberFormat="1" applyFont="1" applyFill="1" applyBorder="1" applyAlignment="1">
      <alignment horizontal="center" vertical="center"/>
    </xf>
    <xf numFmtId="0" fontId="4" fillId="2" borderId="16" xfId="4" applyNumberFormat="1" applyFont="1" applyFill="1" applyBorder="1" applyAlignment="1">
      <alignment horizontal="center"/>
    </xf>
    <xf numFmtId="49" fontId="16" fillId="2" borderId="0" xfId="4" applyNumberFormat="1" applyFont="1" applyFill="1" applyBorder="1" applyAlignment="1">
      <alignment horizontal="center" vertical="center"/>
    </xf>
    <xf numFmtId="0" fontId="15" fillId="2" borderId="0" xfId="4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0" fontId="20" fillId="2" borderId="0" xfId="4" applyNumberFormat="1" applyFont="1" applyFill="1" applyBorder="1" applyAlignment="1">
      <alignment horizontal="center" vertical="center"/>
    </xf>
    <xf numFmtId="49" fontId="19" fillId="2" borderId="0" xfId="4" applyNumberFormat="1" applyFont="1" applyFill="1" applyBorder="1" applyAlignment="1">
      <alignment horizontal="center" vertical="center"/>
    </xf>
    <xf numFmtId="49" fontId="17" fillId="2" borderId="0" xfId="4" applyNumberFormat="1" applyFont="1" applyFill="1" applyBorder="1" applyAlignment="1">
      <alignment horizontal="center" vertical="center" wrapText="1"/>
    </xf>
    <xf numFmtId="0" fontId="18" fillId="2" borderId="0" xfId="2" applyFont="1" applyFill="1" applyBorder="1" applyAlignment="1">
      <alignment horizontal="center" vertical="center" wrapText="1"/>
    </xf>
    <xf numFmtId="0" fontId="18" fillId="2" borderId="0" xfId="4" applyFont="1" applyFill="1" applyBorder="1" applyAlignment="1">
      <alignment horizontal="center" vertical="center" wrapText="1"/>
    </xf>
    <xf numFmtId="0" fontId="18" fillId="2" borderId="11" xfId="4" applyFont="1" applyFill="1" applyBorder="1" applyAlignment="1">
      <alignment horizontal="center" vertical="center" wrapText="1"/>
    </xf>
    <xf numFmtId="49" fontId="5" fillId="2" borderId="11" xfId="4" applyNumberFormat="1" applyFont="1" applyFill="1" applyBorder="1" applyAlignment="1">
      <alignment horizontal="center" vertical="center"/>
    </xf>
    <xf numFmtId="0" fontId="5" fillId="2" borderId="11" xfId="4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49" fontId="22" fillId="2" borderId="15" xfId="4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24" fillId="2" borderId="26" xfId="4" applyNumberFormat="1" applyFont="1" applyFill="1" applyBorder="1" applyAlignment="1">
      <alignment horizontal="center" vertical="center"/>
    </xf>
    <xf numFmtId="49" fontId="25" fillId="3" borderId="4" xfId="4" applyNumberFormat="1" applyFont="1" applyFill="1" applyBorder="1" applyAlignment="1">
      <alignment horizontal="center" vertical="center"/>
    </xf>
    <xf numFmtId="0" fontId="24" fillId="3" borderId="9" xfId="4" applyNumberFormat="1" applyFont="1" applyFill="1" applyBorder="1" applyAlignment="1">
      <alignment horizontal="center" vertical="center"/>
    </xf>
    <xf numFmtId="0" fontId="24" fillId="3" borderId="4" xfId="4" applyNumberFormat="1" applyFont="1" applyFill="1" applyBorder="1" applyAlignment="1">
      <alignment horizontal="center" vertical="center"/>
    </xf>
    <xf numFmtId="49" fontId="25" fillId="2" borderId="25" xfId="4" applyNumberFormat="1" applyFont="1" applyFill="1" applyBorder="1" applyAlignment="1">
      <alignment horizontal="center" vertical="center"/>
    </xf>
    <xf numFmtId="0" fontId="27" fillId="2" borderId="25" xfId="2" applyFont="1" applyFill="1" applyBorder="1" applyAlignment="1">
      <alignment horizontal="center" vertical="center" wrapText="1"/>
    </xf>
    <xf numFmtId="0" fontId="23" fillId="2" borderId="19" xfId="4" applyFont="1" applyFill="1" applyBorder="1" applyAlignment="1">
      <alignment horizontal="center" vertical="center" wrapText="1"/>
    </xf>
    <xf numFmtId="49" fontId="28" fillId="2" borderId="23" xfId="0" applyNumberFormat="1" applyFont="1" applyFill="1" applyBorder="1" applyAlignment="1">
      <alignment horizontal="center" vertical="center"/>
    </xf>
    <xf numFmtId="49" fontId="23" fillId="2" borderId="19" xfId="4" applyNumberFormat="1" applyFont="1" applyFill="1" applyBorder="1" applyAlignment="1">
      <alignment horizontal="center" vertical="center" wrapText="1"/>
    </xf>
    <xf numFmtId="49" fontId="25" fillId="2" borderId="25" xfId="4" applyNumberFormat="1" applyFont="1" applyFill="1" applyBorder="1" applyAlignment="1">
      <alignment horizontal="center" vertical="center" wrapText="1"/>
    </xf>
    <xf numFmtId="1" fontId="5" fillId="3" borderId="27" xfId="4" applyNumberFormat="1" applyFont="1" applyFill="1" applyBorder="1" applyAlignment="1">
      <alignment horizontal="center" vertical="center"/>
    </xf>
    <xf numFmtId="0" fontId="24" fillId="2" borderId="0" xfId="4" applyNumberFormat="1" applyFont="1" applyFill="1" applyBorder="1" applyAlignment="1">
      <alignment horizontal="center" vertical="center"/>
    </xf>
    <xf numFmtId="49" fontId="25" fillId="2" borderId="0" xfId="4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0" fillId="2" borderId="24" xfId="0" applyNumberForma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24" fillId="2" borderId="11" xfId="4" applyNumberFormat="1" applyFont="1" applyFill="1" applyBorder="1" applyAlignment="1">
      <alignment horizontal="center" vertical="center"/>
    </xf>
    <xf numFmtId="49" fontId="25" fillId="2" borderId="15" xfId="4" applyNumberFormat="1" applyFont="1" applyFill="1" applyBorder="1" applyAlignment="1">
      <alignment horizontal="center" vertical="center"/>
    </xf>
    <xf numFmtId="49" fontId="16" fillId="2" borderId="21" xfId="4" applyNumberFormat="1" applyFont="1" applyFill="1" applyBorder="1" applyAlignment="1">
      <alignment horizontal="center" vertical="center"/>
    </xf>
    <xf numFmtId="0" fontId="15" fillId="2" borderId="12" xfId="4" applyNumberFormat="1" applyFont="1" applyFill="1" applyBorder="1" applyAlignment="1">
      <alignment horizontal="center" vertical="center"/>
    </xf>
    <xf numFmtId="49" fontId="16" fillId="2" borderId="12" xfId="4" applyNumberFormat="1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/>
    </xf>
    <xf numFmtId="0" fontId="15" fillId="2" borderId="12" xfId="4" applyFont="1" applyFill="1" applyBorder="1" applyAlignment="1">
      <alignment horizontal="center" vertical="center" wrapText="1"/>
    </xf>
    <xf numFmtId="0" fontId="15" fillId="2" borderId="22" xfId="4" applyNumberFormat="1" applyFont="1" applyFill="1" applyBorder="1" applyAlignment="1">
      <alignment horizontal="center" vertical="center"/>
    </xf>
    <xf numFmtId="0" fontId="27" fillId="2" borderId="31" xfId="2" applyFont="1" applyFill="1" applyBorder="1" applyAlignment="1">
      <alignment horizontal="center" vertical="center" wrapText="1"/>
    </xf>
    <xf numFmtId="49" fontId="33" fillId="2" borderId="32" xfId="4" applyNumberFormat="1" applyFont="1" applyFill="1" applyBorder="1" applyAlignment="1">
      <alignment horizontal="center" vertical="center"/>
    </xf>
    <xf numFmtId="49" fontId="4" fillId="2" borderId="15" xfId="4" applyNumberFormat="1" applyFont="1" applyFill="1" applyBorder="1" applyAlignment="1">
      <alignment horizontal="center" vertical="center"/>
    </xf>
    <xf numFmtId="0" fontId="4" fillId="0" borderId="0" xfId="4" applyNumberFormat="1" applyFont="1" applyFill="1" applyBorder="1" applyAlignment="1">
      <alignment horizontal="center"/>
    </xf>
    <xf numFmtId="0" fontId="5" fillId="0" borderId="0" xfId="4" applyNumberFormat="1" applyFont="1" applyFill="1" applyBorder="1" applyAlignment="1">
      <alignment horizontal="center" vertical="center"/>
    </xf>
    <xf numFmtId="49" fontId="4" fillId="0" borderId="0" xfId="4" applyNumberFormat="1" applyFont="1" applyFill="1" applyBorder="1" applyAlignment="1">
      <alignment horizontal="center" vertical="center"/>
    </xf>
    <xf numFmtId="49" fontId="6" fillId="0" borderId="0" xfId="4" applyNumberFormat="1" applyFont="1" applyFill="1" applyBorder="1" applyAlignment="1">
      <alignment horizontal="center" vertical="center"/>
    </xf>
    <xf numFmtId="3" fontId="5" fillId="0" borderId="0" xfId="4" applyNumberFormat="1" applyFont="1" applyFill="1" applyBorder="1" applyAlignment="1">
      <alignment horizontal="center" vertical="center"/>
    </xf>
    <xf numFmtId="164" fontId="3" fillId="0" borderId="0" xfId="4" applyNumberFormat="1" applyFont="1" applyFill="1" applyBorder="1" applyAlignment="1">
      <alignment horizontal="center" vertical="center"/>
    </xf>
    <xf numFmtId="49" fontId="5" fillId="0" borderId="0" xfId="4" applyNumberFormat="1" applyFont="1" applyFill="1" applyBorder="1" applyAlignment="1">
      <alignment horizontal="center" vertical="center"/>
    </xf>
    <xf numFmtId="49" fontId="4" fillId="0" borderId="0" xfId="4" applyNumberFormat="1" applyFont="1" applyFill="1" applyBorder="1" applyAlignment="1">
      <alignment horizontal="left" vertical="center"/>
    </xf>
    <xf numFmtId="1" fontId="5" fillId="0" borderId="0" xfId="4" applyNumberFormat="1" applyFont="1" applyFill="1" applyBorder="1" applyAlignment="1">
      <alignment horizontal="center" vertical="center"/>
    </xf>
    <xf numFmtId="49" fontId="5" fillId="0" borderId="0" xfId="4" applyNumberFormat="1" applyFont="1" applyFill="1" applyBorder="1" applyAlignment="1">
      <alignment horizontal="center" vertical="center" wrapText="1"/>
    </xf>
    <xf numFmtId="164" fontId="3" fillId="0" borderId="15" xfId="4" applyNumberFormat="1" applyFont="1" applyFill="1" applyBorder="1" applyAlignment="1">
      <alignment horizontal="center" vertical="center"/>
    </xf>
    <xf numFmtId="0" fontId="5" fillId="0" borderId="34" xfId="4" applyNumberFormat="1" applyFont="1" applyFill="1" applyBorder="1" applyAlignment="1">
      <alignment horizontal="center" vertical="center"/>
    </xf>
    <xf numFmtId="0" fontId="5" fillId="2" borderId="34" xfId="4" applyNumberFormat="1" applyFont="1" applyFill="1" applyBorder="1" applyAlignment="1">
      <alignment horizontal="center" vertical="center"/>
    </xf>
    <xf numFmtId="1" fontId="5" fillId="3" borderId="4" xfId="4" applyNumberFormat="1" applyFont="1" applyFill="1" applyBorder="1" applyAlignment="1">
      <alignment horizontal="center" vertical="center" wrapText="1"/>
    </xf>
    <xf numFmtId="0" fontId="4" fillId="3" borderId="8" xfId="4" applyFont="1" applyFill="1" applyBorder="1" applyAlignment="1">
      <alignment horizontal="left" vertical="center"/>
    </xf>
    <xf numFmtId="3" fontId="5" fillId="0" borderId="34" xfId="4" applyNumberFormat="1" applyFont="1" applyFill="1" applyBorder="1" applyAlignment="1">
      <alignment horizontal="center" vertical="center"/>
    </xf>
    <xf numFmtId="49" fontId="4" fillId="2" borderId="34" xfId="4" applyNumberFormat="1" applyFont="1" applyFill="1" applyBorder="1" applyAlignment="1">
      <alignment horizontal="center" vertical="center"/>
    </xf>
    <xf numFmtId="49" fontId="4" fillId="0" borderId="34" xfId="4" applyNumberFormat="1" applyFont="1" applyFill="1" applyBorder="1" applyAlignment="1">
      <alignment horizontal="center" vertical="center"/>
    </xf>
    <xf numFmtId="0" fontId="4" fillId="2" borderId="34" xfId="4" applyNumberFormat="1" applyFont="1" applyFill="1" applyBorder="1" applyAlignment="1">
      <alignment horizontal="center"/>
    </xf>
    <xf numFmtId="49" fontId="5" fillId="0" borderId="11" xfId="4" applyNumberFormat="1" applyFont="1" applyFill="1" applyBorder="1" applyAlignment="1">
      <alignment horizontal="center" vertical="center"/>
    </xf>
    <xf numFmtId="0" fontId="5" fillId="0" borderId="11" xfId="4" applyNumberFormat="1" applyFont="1" applyFill="1" applyBorder="1" applyAlignment="1">
      <alignment horizontal="center" vertical="center"/>
    </xf>
    <xf numFmtId="1" fontId="5" fillId="0" borderId="11" xfId="4" applyNumberFormat="1" applyFont="1" applyFill="1" applyBorder="1" applyAlignment="1">
      <alignment horizontal="center" vertical="center"/>
    </xf>
    <xf numFmtId="49" fontId="4" fillId="2" borderId="21" xfId="4" applyNumberFormat="1" applyFont="1" applyFill="1" applyBorder="1" applyAlignment="1">
      <alignment horizontal="left" vertical="center"/>
    </xf>
    <xf numFmtId="1" fontId="5" fillId="2" borderId="12" xfId="4" applyNumberFormat="1" applyFont="1" applyFill="1" applyBorder="1" applyAlignment="1">
      <alignment horizontal="center" vertical="center"/>
    </xf>
    <xf numFmtId="49" fontId="4" fillId="2" borderId="12" xfId="4" applyNumberFormat="1" applyFont="1" applyFill="1" applyBorder="1" applyAlignment="1">
      <alignment horizontal="left" vertical="center"/>
    </xf>
    <xf numFmtId="1" fontId="5" fillId="2" borderId="22" xfId="4" applyNumberFormat="1" applyFont="1" applyFill="1" applyBorder="1" applyAlignment="1">
      <alignment horizontal="center" vertical="center"/>
    </xf>
    <xf numFmtId="49" fontId="28" fillId="0" borderId="0" xfId="0" applyNumberFormat="1" applyFont="1" applyFill="1" applyBorder="1" applyAlignment="1">
      <alignment horizontal="center" vertical="center"/>
    </xf>
    <xf numFmtId="49" fontId="29" fillId="0" borderId="0" xfId="0" applyNumberFormat="1" applyFont="1" applyFill="1" applyBorder="1" applyAlignment="1">
      <alignment horizontal="center" vertical="center"/>
    </xf>
    <xf numFmtId="49" fontId="25" fillId="0" borderId="0" xfId="4" applyNumberFormat="1" applyFont="1" applyFill="1" applyBorder="1" applyAlignment="1">
      <alignment horizontal="center" vertical="center" wrapText="1"/>
    </xf>
    <xf numFmtId="0" fontId="24" fillId="0" borderId="0" xfId="4" applyFont="1" applyFill="1" applyBorder="1" applyAlignment="1">
      <alignment horizontal="center" vertical="center" wrapText="1"/>
    </xf>
    <xf numFmtId="49" fontId="25" fillId="0" borderId="0" xfId="4" applyNumberFormat="1" applyFont="1" applyFill="1" applyBorder="1" applyAlignment="1">
      <alignment horizontal="center" vertical="center"/>
    </xf>
    <xf numFmtId="0" fontId="24" fillId="0" borderId="0" xfId="4" applyNumberFormat="1" applyFont="1" applyFill="1" applyBorder="1" applyAlignment="1">
      <alignment horizontal="center" vertical="center"/>
    </xf>
    <xf numFmtId="0" fontId="0" fillId="2" borderId="32" xfId="0" applyNumberFormat="1" applyFill="1" applyBorder="1" applyAlignment="1">
      <alignment horizontal="center" vertical="center"/>
    </xf>
    <xf numFmtId="0" fontId="12" fillId="2" borderId="33" xfId="0" applyNumberFormat="1" applyFont="1" applyFill="1" applyBorder="1" applyAlignment="1">
      <alignment horizontal="center" vertical="center"/>
    </xf>
    <xf numFmtId="0" fontId="27" fillId="2" borderId="36" xfId="2" applyFont="1" applyFill="1" applyBorder="1" applyAlignment="1">
      <alignment horizontal="center" vertical="center" wrapText="1"/>
    </xf>
    <xf numFmtId="0" fontId="24" fillId="2" borderId="37" xfId="2" applyFont="1" applyFill="1" applyBorder="1" applyAlignment="1">
      <alignment horizontal="center" vertical="center" wrapText="1"/>
    </xf>
    <xf numFmtId="0" fontId="24" fillId="2" borderId="38" xfId="4" applyFont="1" applyFill="1" applyBorder="1" applyAlignment="1">
      <alignment horizontal="center" vertical="center" wrapText="1"/>
    </xf>
    <xf numFmtId="49" fontId="25" fillId="2" borderId="38" xfId="4" applyNumberFormat="1" applyFont="1" applyFill="1" applyBorder="1" applyAlignment="1">
      <alignment horizontal="center" vertical="center" wrapText="1"/>
    </xf>
    <xf numFmtId="0" fontId="24" fillId="2" borderId="39" xfId="4" applyFont="1" applyFill="1" applyBorder="1" applyAlignment="1">
      <alignment horizontal="center" vertical="center" wrapText="1"/>
    </xf>
    <xf numFmtId="49" fontId="29" fillId="0" borderId="11" xfId="0" applyNumberFormat="1" applyFont="1" applyFill="1" applyBorder="1" applyAlignment="1">
      <alignment horizontal="center" vertical="center"/>
    </xf>
    <xf numFmtId="0" fontId="24" fillId="0" borderId="11" xfId="4" applyFont="1" applyFill="1" applyBorder="1" applyAlignment="1">
      <alignment horizontal="center" vertical="center" wrapText="1"/>
    </xf>
    <xf numFmtId="0" fontId="24" fillId="0" borderId="11" xfId="4" applyNumberFormat="1" applyFont="1" applyFill="1" applyBorder="1" applyAlignment="1">
      <alignment horizontal="center" vertical="center"/>
    </xf>
    <xf numFmtId="49" fontId="33" fillId="2" borderId="28" xfId="0" applyNumberFormat="1" applyFont="1" applyFill="1" applyBorder="1"/>
    <xf numFmtId="0" fontId="34" fillId="2" borderId="29" xfId="0" applyFont="1" applyFill="1" applyBorder="1" applyAlignment="1">
      <alignment horizontal="center" vertical="center"/>
    </xf>
    <xf numFmtId="0" fontId="35" fillId="2" borderId="29" xfId="0" applyFont="1" applyFill="1" applyBorder="1"/>
    <xf numFmtId="0" fontId="36" fillId="2" borderId="29" xfId="0" applyFont="1" applyFill="1" applyBorder="1" applyAlignment="1">
      <alignment horizontal="center" vertical="center"/>
    </xf>
    <xf numFmtId="3" fontId="33" fillId="2" borderId="29" xfId="0" applyNumberFormat="1" applyFont="1" applyFill="1" applyBorder="1"/>
    <xf numFmtId="3" fontId="34" fillId="2" borderId="29" xfId="0" applyNumberFormat="1" applyFont="1" applyFill="1" applyBorder="1" applyAlignment="1">
      <alignment horizontal="center" vertical="center"/>
    </xf>
    <xf numFmtId="49" fontId="33" fillId="2" borderId="29" xfId="0" applyNumberFormat="1" applyFont="1" applyFill="1" applyBorder="1"/>
    <xf numFmtId="0" fontId="33" fillId="2" borderId="29" xfId="0" applyFont="1" applyFill="1" applyBorder="1"/>
    <xf numFmtId="0" fontId="36" fillId="2" borderId="30" xfId="0" applyFont="1" applyFill="1" applyBorder="1" applyAlignment="1">
      <alignment horizontal="center" vertical="center"/>
    </xf>
    <xf numFmtId="164" fontId="3" fillId="4" borderId="21" xfId="4" applyNumberFormat="1" applyFont="1" applyFill="1" applyBorder="1" applyAlignment="1">
      <alignment horizontal="center" vertical="center"/>
    </xf>
    <xf numFmtId="0" fontId="1" fillId="0" borderId="40" xfId="4" applyFill="1" applyBorder="1"/>
    <xf numFmtId="49" fontId="14" fillId="0" borderId="8" xfId="4" applyNumberFormat="1" applyFont="1" applyFill="1" applyBorder="1" applyAlignment="1">
      <alignment horizontal="center" vertical="center"/>
    </xf>
    <xf numFmtId="0" fontId="2" fillId="0" borderId="9" xfId="4" applyFont="1" applyFill="1" applyBorder="1" applyAlignment="1">
      <alignment horizontal="center" vertical="center"/>
    </xf>
    <xf numFmtId="0" fontId="2" fillId="0" borderId="6" xfId="4" applyFont="1" applyFill="1" applyBorder="1" applyAlignment="1">
      <alignment horizontal="center" vertical="center"/>
    </xf>
    <xf numFmtId="49" fontId="25" fillId="0" borderId="15" xfId="4" applyNumberFormat="1" applyFont="1" applyFill="1" applyBorder="1" applyAlignment="1">
      <alignment horizontal="center" vertical="center"/>
    </xf>
    <xf numFmtId="49" fontId="4" fillId="0" borderId="42" xfId="4" applyNumberFormat="1" applyFont="1" applyFill="1" applyBorder="1" applyAlignment="1">
      <alignment horizontal="center" vertical="center"/>
    </xf>
    <xf numFmtId="49" fontId="28" fillId="2" borderId="48" xfId="0" applyNumberFormat="1" applyFont="1" applyFill="1" applyBorder="1" applyAlignment="1">
      <alignment horizontal="center" vertical="center"/>
    </xf>
    <xf numFmtId="49" fontId="29" fillId="2" borderId="49" xfId="0" applyNumberFormat="1" applyFont="1" applyFill="1" applyBorder="1" applyAlignment="1">
      <alignment horizontal="center" vertical="center"/>
    </xf>
    <xf numFmtId="49" fontId="28" fillId="2" borderId="49" xfId="0" applyNumberFormat="1" applyFont="1" applyFill="1" applyBorder="1" applyAlignment="1">
      <alignment horizontal="center" vertical="center"/>
    </xf>
    <xf numFmtId="49" fontId="29" fillId="2" borderId="50" xfId="0" applyNumberFormat="1" applyFont="1" applyFill="1" applyBorder="1" applyAlignment="1">
      <alignment horizontal="center" vertical="center"/>
    </xf>
    <xf numFmtId="49" fontId="29" fillId="2" borderId="51" xfId="0" applyNumberFormat="1" applyFont="1" applyFill="1" applyBorder="1" applyAlignment="1">
      <alignment horizontal="center" vertical="center"/>
    </xf>
    <xf numFmtId="49" fontId="25" fillId="2" borderId="52" xfId="4" applyNumberFormat="1" applyFont="1" applyFill="1" applyBorder="1" applyAlignment="1">
      <alignment horizontal="center" vertical="center" wrapText="1"/>
    </xf>
    <xf numFmtId="0" fontId="24" fillId="2" borderId="53" xfId="4" applyFont="1" applyFill="1" applyBorder="1" applyAlignment="1">
      <alignment horizontal="center" vertical="center" wrapText="1"/>
    </xf>
    <xf numFmtId="49" fontId="25" fillId="2" borderId="53" xfId="4" applyNumberFormat="1" applyFont="1" applyFill="1" applyBorder="1" applyAlignment="1">
      <alignment horizontal="center" vertical="center" wrapText="1"/>
    </xf>
    <xf numFmtId="0" fontId="24" fillId="2" borderId="54" xfId="4" applyFont="1" applyFill="1" applyBorder="1" applyAlignment="1">
      <alignment horizontal="center" vertical="center" wrapText="1"/>
    </xf>
    <xf numFmtId="0" fontId="24" fillId="2" borderId="53" xfId="2" applyFont="1" applyFill="1" applyBorder="1" applyAlignment="1">
      <alignment horizontal="center" vertical="center" wrapText="1"/>
    </xf>
    <xf numFmtId="0" fontId="24" fillId="2" borderId="55" xfId="2" applyFont="1" applyFill="1" applyBorder="1" applyAlignment="1">
      <alignment horizontal="center" vertical="center" wrapText="1"/>
    </xf>
    <xf numFmtId="0" fontId="24" fillId="2" borderId="56" xfId="4" applyFont="1" applyFill="1" applyBorder="1" applyAlignment="1">
      <alignment horizontal="center" vertical="center" wrapText="1"/>
    </xf>
    <xf numFmtId="0" fontId="25" fillId="2" borderId="52" xfId="4" applyFont="1" applyFill="1" applyBorder="1" applyAlignment="1">
      <alignment horizontal="center" vertical="center" wrapText="1"/>
    </xf>
    <xf numFmtId="0" fontId="24" fillId="2" borderId="53" xfId="4" applyNumberFormat="1" applyFont="1" applyFill="1" applyBorder="1" applyAlignment="1">
      <alignment horizontal="center" vertical="center"/>
    </xf>
    <xf numFmtId="0" fontId="25" fillId="2" borderId="52" xfId="4" applyFont="1" applyFill="1" applyBorder="1" applyAlignment="1">
      <alignment horizontal="center" vertical="center"/>
    </xf>
    <xf numFmtId="0" fontId="27" fillId="2" borderId="52" xfId="2" applyFont="1" applyFill="1" applyBorder="1" applyAlignment="1">
      <alignment horizontal="center" vertical="center" wrapText="1"/>
    </xf>
    <xf numFmtId="49" fontId="23" fillId="2" borderId="52" xfId="4" applyNumberFormat="1" applyFont="1" applyFill="1" applyBorder="1" applyAlignment="1">
      <alignment horizontal="center" vertical="center" wrapText="1"/>
    </xf>
    <xf numFmtId="49" fontId="29" fillId="2" borderId="58" xfId="0" applyNumberFormat="1" applyFont="1" applyFill="1" applyBorder="1" applyAlignment="1">
      <alignment horizontal="center" vertical="center"/>
    </xf>
    <xf numFmtId="49" fontId="28" fillId="2" borderId="58" xfId="0" applyNumberFormat="1" applyFont="1" applyFill="1" applyBorder="1" applyAlignment="1">
      <alignment horizontal="center" vertical="center"/>
    </xf>
    <xf numFmtId="49" fontId="29" fillId="2" borderId="59" xfId="0" applyNumberFormat="1" applyFont="1" applyFill="1" applyBorder="1" applyAlignment="1">
      <alignment horizontal="center" vertical="center"/>
    </xf>
    <xf numFmtId="49" fontId="29" fillId="2" borderId="60" xfId="0" applyNumberFormat="1" applyFont="1" applyFill="1" applyBorder="1" applyAlignment="1">
      <alignment horizontal="center" vertical="center"/>
    </xf>
    <xf numFmtId="49" fontId="33" fillId="2" borderId="61" xfId="0" applyNumberFormat="1" applyFont="1" applyFill="1" applyBorder="1"/>
    <xf numFmtId="0" fontId="34" fillId="2" borderId="62" xfId="0" applyFont="1" applyFill="1" applyBorder="1" applyAlignment="1">
      <alignment horizontal="center" vertical="center"/>
    </xf>
    <xf numFmtId="0" fontId="35" fillId="2" borderId="62" xfId="0" applyFont="1" applyFill="1" applyBorder="1"/>
    <xf numFmtId="0" fontId="36" fillId="2" borderId="62" xfId="0" applyFont="1" applyFill="1" applyBorder="1" applyAlignment="1">
      <alignment horizontal="center" vertical="center"/>
    </xf>
    <xf numFmtId="3" fontId="33" fillId="2" borderId="62" xfId="0" applyNumberFormat="1" applyFont="1" applyFill="1" applyBorder="1"/>
    <xf numFmtId="3" fontId="34" fillId="2" borderId="62" xfId="0" applyNumberFormat="1" applyFont="1" applyFill="1" applyBorder="1" applyAlignment="1">
      <alignment horizontal="center" vertical="center"/>
    </xf>
    <xf numFmtId="49" fontId="33" fillId="2" borderId="62" xfId="0" applyNumberFormat="1" applyFont="1" applyFill="1" applyBorder="1"/>
    <xf numFmtId="0" fontId="33" fillId="2" borderId="62" xfId="0" applyFont="1" applyFill="1" applyBorder="1"/>
    <xf numFmtId="0" fontId="36" fillId="2" borderId="63" xfId="0" applyFont="1" applyFill="1" applyBorder="1" applyAlignment="1">
      <alignment horizontal="center" vertical="center"/>
    </xf>
    <xf numFmtId="49" fontId="33" fillId="2" borderId="64" xfId="0" applyNumberFormat="1" applyFont="1" applyFill="1" applyBorder="1"/>
    <xf numFmtId="0" fontId="34" fillId="2" borderId="65" xfId="0" applyFont="1" applyFill="1" applyBorder="1" applyAlignment="1">
      <alignment horizontal="center" vertical="center"/>
    </xf>
    <xf numFmtId="0" fontId="35" fillId="2" borderId="65" xfId="0" applyFont="1" applyFill="1" applyBorder="1"/>
    <xf numFmtId="0" fontId="36" fillId="2" borderId="65" xfId="0" applyFont="1" applyFill="1" applyBorder="1" applyAlignment="1">
      <alignment horizontal="center" vertical="center"/>
    </xf>
    <xf numFmtId="3" fontId="33" fillId="2" borderId="65" xfId="0" applyNumberFormat="1" applyFont="1" applyFill="1" applyBorder="1"/>
    <xf numFmtId="3" fontId="34" fillId="2" borderId="65" xfId="0" applyNumberFormat="1" applyFont="1" applyFill="1" applyBorder="1" applyAlignment="1">
      <alignment horizontal="center" vertical="center"/>
    </xf>
    <xf numFmtId="49" fontId="33" fillId="2" borderId="65" xfId="0" applyNumberFormat="1" applyFont="1" applyFill="1" applyBorder="1"/>
    <xf numFmtId="0" fontId="33" fillId="2" borderId="65" xfId="0" applyFont="1" applyFill="1" applyBorder="1"/>
    <xf numFmtId="0" fontId="36" fillId="2" borderId="66" xfId="0" applyFont="1" applyFill="1" applyBorder="1" applyAlignment="1">
      <alignment horizontal="center" vertical="center"/>
    </xf>
    <xf numFmtId="0" fontId="34" fillId="2" borderId="57" xfId="4" applyNumberFormat="1" applyFont="1" applyFill="1" applyBorder="1" applyAlignment="1">
      <alignment horizontal="center" vertical="center"/>
    </xf>
    <xf numFmtId="49" fontId="33" fillId="2" borderId="57" xfId="4" applyNumberFormat="1" applyFont="1" applyFill="1" applyBorder="1" applyAlignment="1">
      <alignment horizontal="center" vertical="center"/>
    </xf>
    <xf numFmtId="0" fontId="33" fillId="2" borderId="57" xfId="4" applyFont="1" applyFill="1" applyBorder="1" applyAlignment="1">
      <alignment horizontal="center" vertical="center"/>
    </xf>
    <xf numFmtId="0" fontId="34" fillId="2" borderId="57" xfId="4" applyFont="1" applyFill="1" applyBorder="1" applyAlignment="1">
      <alignment horizontal="center" vertical="center" wrapText="1"/>
    </xf>
    <xf numFmtId="0" fontId="34" fillId="2" borderId="43" xfId="4" applyNumberFormat="1" applyFont="1" applyFill="1" applyBorder="1" applyAlignment="1">
      <alignment horizontal="center" vertical="center"/>
    </xf>
    <xf numFmtId="49" fontId="26" fillId="2" borderId="52" xfId="4" applyNumberFormat="1" applyFont="1" applyFill="1" applyBorder="1" applyAlignment="1">
      <alignment horizontal="center" vertical="center" wrapText="1"/>
    </xf>
    <xf numFmtId="49" fontId="26" fillId="2" borderId="41" xfId="4" applyNumberFormat="1" applyFont="1" applyFill="1" applyBorder="1" applyAlignment="1">
      <alignment horizontal="center" vertical="center" wrapText="1"/>
    </xf>
    <xf numFmtId="0" fontId="5" fillId="2" borderId="68" xfId="4" applyNumberFormat="1" applyFont="1" applyFill="1" applyBorder="1" applyAlignment="1">
      <alignment horizontal="center" vertical="center"/>
    </xf>
    <xf numFmtId="49" fontId="4" fillId="2" borderId="69" xfId="4" applyNumberFormat="1" applyFont="1" applyFill="1" applyBorder="1" applyAlignment="1">
      <alignment horizontal="center" vertical="center"/>
    </xf>
    <xf numFmtId="0" fontId="5" fillId="2" borderId="69" xfId="4" applyNumberFormat="1" applyFont="1" applyFill="1" applyBorder="1" applyAlignment="1">
      <alignment horizontal="center" vertical="center"/>
    </xf>
    <xf numFmtId="0" fontId="4" fillId="2" borderId="70" xfId="4" applyNumberFormat="1" applyFont="1" applyFill="1" applyBorder="1" applyAlignment="1">
      <alignment horizontal="center"/>
    </xf>
    <xf numFmtId="0" fontId="4" fillId="2" borderId="71" xfId="4" applyNumberFormat="1" applyFont="1" applyFill="1" applyBorder="1" applyAlignment="1">
      <alignment horizontal="center"/>
    </xf>
    <xf numFmtId="49" fontId="4" fillId="2" borderId="71" xfId="4" applyNumberFormat="1" applyFont="1" applyFill="1" applyBorder="1" applyAlignment="1">
      <alignment horizontal="center" vertical="center"/>
    </xf>
    <xf numFmtId="0" fontId="5" fillId="0" borderId="69" xfId="4" applyNumberFormat="1" applyFont="1" applyFill="1" applyBorder="1" applyAlignment="1">
      <alignment horizontal="center" vertical="center"/>
    </xf>
    <xf numFmtId="49" fontId="4" fillId="2" borderId="70" xfId="4" applyNumberFormat="1" applyFont="1" applyFill="1" applyBorder="1" applyAlignment="1">
      <alignment horizontal="center" vertical="center"/>
    </xf>
    <xf numFmtId="0" fontId="4" fillId="0" borderId="72" xfId="4" applyNumberFormat="1" applyFont="1" applyFill="1" applyBorder="1" applyAlignment="1">
      <alignment horizontal="center"/>
    </xf>
    <xf numFmtId="0" fontId="5" fillId="0" borderId="72" xfId="4" applyNumberFormat="1" applyFont="1" applyFill="1" applyBorder="1" applyAlignment="1">
      <alignment horizontal="center" vertical="center"/>
    </xf>
    <xf numFmtId="49" fontId="4" fillId="0" borderId="71" xfId="4" applyNumberFormat="1" applyFont="1" applyFill="1" applyBorder="1" applyAlignment="1">
      <alignment horizontal="center" vertical="center"/>
    </xf>
    <xf numFmtId="49" fontId="6" fillId="2" borderId="71" xfId="4" applyNumberFormat="1" applyFont="1" applyFill="1" applyBorder="1" applyAlignment="1">
      <alignment horizontal="center" vertical="center"/>
    </xf>
    <xf numFmtId="49" fontId="4" fillId="0" borderId="73" xfId="4" applyNumberFormat="1" applyFont="1" applyFill="1" applyBorder="1" applyAlignment="1">
      <alignment horizontal="center" vertical="center"/>
    </xf>
    <xf numFmtId="49" fontId="4" fillId="2" borderId="74" xfId="4" applyNumberFormat="1" applyFont="1" applyFill="1" applyBorder="1" applyAlignment="1">
      <alignment horizontal="center" vertical="center"/>
    </xf>
    <xf numFmtId="0" fontId="5" fillId="2" borderId="75" xfId="4" applyNumberFormat="1" applyFont="1" applyFill="1" applyBorder="1" applyAlignment="1">
      <alignment horizontal="center" vertical="center"/>
    </xf>
    <xf numFmtId="49" fontId="4" fillId="2" borderId="76" xfId="4" applyNumberFormat="1" applyFont="1" applyFill="1" applyBorder="1" applyAlignment="1">
      <alignment horizontal="center" vertical="center"/>
    </xf>
    <xf numFmtId="49" fontId="4" fillId="0" borderId="77" xfId="4" applyNumberFormat="1" applyFont="1" applyFill="1" applyBorder="1" applyAlignment="1">
      <alignment horizontal="center" vertical="center"/>
    </xf>
    <xf numFmtId="0" fontId="5" fillId="0" borderId="75" xfId="4" applyNumberFormat="1" applyFont="1" applyFill="1" applyBorder="1" applyAlignment="1">
      <alignment horizontal="center" vertical="center"/>
    </xf>
    <xf numFmtId="49" fontId="4" fillId="0" borderId="78" xfId="4" applyNumberFormat="1" applyFont="1" applyFill="1" applyBorder="1" applyAlignment="1">
      <alignment horizontal="center" vertical="center"/>
    </xf>
    <xf numFmtId="49" fontId="4" fillId="2" borderId="79" xfId="4" applyNumberFormat="1" applyFont="1" applyFill="1" applyBorder="1" applyAlignment="1">
      <alignment horizontal="center" vertical="center"/>
    </xf>
    <xf numFmtId="0" fontId="4" fillId="0" borderId="79" xfId="4" applyNumberFormat="1" applyFont="1" applyFill="1" applyBorder="1" applyAlignment="1">
      <alignment horizontal="center"/>
    </xf>
    <xf numFmtId="49" fontId="4" fillId="0" borderId="79" xfId="4" applyNumberFormat="1" applyFont="1" applyFill="1" applyBorder="1" applyAlignment="1">
      <alignment horizontal="center" vertical="center"/>
    </xf>
    <xf numFmtId="0" fontId="5" fillId="2" borderId="80" xfId="4" applyNumberFormat="1" applyFont="1" applyFill="1" applyBorder="1" applyAlignment="1">
      <alignment horizontal="center" vertical="center"/>
    </xf>
    <xf numFmtId="0" fontId="4" fillId="2" borderId="79" xfId="4" applyNumberFormat="1" applyFont="1" applyFill="1" applyBorder="1" applyAlignment="1">
      <alignment horizontal="center"/>
    </xf>
    <xf numFmtId="49" fontId="4" fillId="0" borderId="81" xfId="4" applyNumberFormat="1" applyFont="1" applyFill="1" applyBorder="1" applyAlignment="1">
      <alignment horizontal="center" vertical="center"/>
    </xf>
    <xf numFmtId="49" fontId="4" fillId="2" borderId="73" xfId="4" applyNumberFormat="1" applyFont="1" applyFill="1" applyBorder="1" applyAlignment="1">
      <alignment horizontal="center" vertical="center"/>
    </xf>
    <xf numFmtId="49" fontId="6" fillId="2" borderId="81" xfId="4" applyNumberFormat="1" applyFont="1" applyFill="1" applyBorder="1" applyAlignment="1">
      <alignment horizontal="center" vertical="center"/>
    </xf>
    <xf numFmtId="49" fontId="4" fillId="2" borderId="78" xfId="4" applyNumberFormat="1" applyFont="1" applyFill="1" applyBorder="1" applyAlignment="1">
      <alignment horizontal="center" vertical="center"/>
    </xf>
    <xf numFmtId="49" fontId="4" fillId="0" borderId="82" xfId="4" applyNumberFormat="1" applyFont="1" applyFill="1" applyBorder="1" applyAlignment="1">
      <alignment horizontal="center" vertical="center"/>
    </xf>
    <xf numFmtId="49" fontId="4" fillId="2" borderId="82" xfId="4" applyNumberFormat="1" applyFont="1" applyFill="1" applyBorder="1" applyAlignment="1">
      <alignment horizontal="center" vertical="center"/>
    </xf>
    <xf numFmtId="49" fontId="4" fillId="2" borderId="75" xfId="4" applyNumberFormat="1" applyFont="1" applyFill="1" applyBorder="1" applyAlignment="1">
      <alignment horizontal="center" vertical="center"/>
    </xf>
    <xf numFmtId="0" fontId="5" fillId="2" borderId="83" xfId="4" applyNumberFormat="1" applyFont="1" applyFill="1" applyBorder="1" applyAlignment="1">
      <alignment horizontal="center" vertical="center"/>
    </xf>
    <xf numFmtId="49" fontId="4" fillId="0" borderId="84" xfId="4" applyNumberFormat="1" applyFont="1" applyFill="1" applyBorder="1" applyAlignment="1">
      <alignment horizontal="center" vertical="center"/>
    </xf>
    <xf numFmtId="49" fontId="4" fillId="0" borderId="85" xfId="4" applyNumberFormat="1" applyFont="1" applyFill="1" applyBorder="1" applyAlignment="1">
      <alignment horizontal="center" vertical="center"/>
    </xf>
    <xf numFmtId="49" fontId="4" fillId="0" borderId="86" xfId="4" applyNumberFormat="1" applyFont="1" applyFill="1" applyBorder="1" applyAlignment="1">
      <alignment horizontal="center" vertical="center"/>
    </xf>
    <xf numFmtId="49" fontId="6" fillId="0" borderId="81" xfId="4" applyNumberFormat="1" applyFont="1" applyFill="1" applyBorder="1" applyAlignment="1">
      <alignment horizontal="center" vertical="center"/>
    </xf>
    <xf numFmtId="49" fontId="4" fillId="0" borderId="75" xfId="4" applyNumberFormat="1" applyFont="1" applyFill="1" applyBorder="1" applyAlignment="1">
      <alignment horizontal="center" vertical="center"/>
    </xf>
    <xf numFmtId="0" fontId="5" fillId="0" borderId="87" xfId="4" applyNumberFormat="1" applyFont="1" applyFill="1" applyBorder="1" applyAlignment="1">
      <alignment horizontal="center" vertical="center"/>
    </xf>
    <xf numFmtId="49" fontId="4" fillId="2" borderId="85" xfId="4" applyNumberFormat="1" applyFont="1" applyFill="1" applyBorder="1" applyAlignment="1">
      <alignment horizontal="center" vertical="center"/>
    </xf>
    <xf numFmtId="49" fontId="4" fillId="0" borderId="88" xfId="4" applyNumberFormat="1" applyFont="1" applyFill="1" applyBorder="1"/>
    <xf numFmtId="0" fontId="12" fillId="0" borderId="89" xfId="4" applyFont="1" applyFill="1" applyBorder="1"/>
    <xf numFmtId="0" fontId="1" fillId="0" borderId="89" xfId="4" applyFill="1" applyBorder="1"/>
    <xf numFmtId="49" fontId="4" fillId="0" borderId="89" xfId="4" applyNumberFormat="1" applyFont="1" applyFill="1" applyBorder="1"/>
    <xf numFmtId="0" fontId="12" fillId="0" borderId="90" xfId="4" applyFont="1" applyFill="1" applyBorder="1"/>
    <xf numFmtId="49" fontId="4" fillId="0" borderId="91" xfId="4" applyNumberFormat="1" applyFont="1" applyFill="1" applyBorder="1"/>
    <xf numFmtId="0" fontId="12" fillId="0" borderId="92" xfId="4" applyFont="1" applyFill="1" applyBorder="1"/>
    <xf numFmtId="0" fontId="1" fillId="0" borderId="92" xfId="4" applyFill="1" applyBorder="1"/>
    <xf numFmtId="0" fontId="1" fillId="0" borderId="93" xfId="4" applyNumberFormat="1" applyFill="1" applyBorder="1" applyAlignment="1"/>
    <xf numFmtId="49" fontId="4" fillId="0" borderId="92" xfId="4" applyNumberFormat="1" applyFont="1" applyFill="1" applyBorder="1"/>
    <xf numFmtId="0" fontId="12" fillId="0" borderId="94" xfId="4" applyFont="1" applyFill="1" applyBorder="1"/>
    <xf numFmtId="0" fontId="1" fillId="0" borderId="89" xfId="4" applyNumberFormat="1" applyFill="1" applyBorder="1" applyAlignment="1"/>
    <xf numFmtId="49" fontId="4" fillId="0" borderId="95" xfId="4" applyNumberFormat="1" applyFont="1" applyFill="1" applyBorder="1"/>
    <xf numFmtId="3" fontId="12" fillId="0" borderId="96" xfId="4" applyNumberFormat="1" applyFont="1" applyFill="1" applyBorder="1"/>
    <xf numFmtId="0" fontId="1" fillId="0" borderId="96" xfId="4" applyFill="1" applyBorder="1"/>
    <xf numFmtId="0" fontId="12" fillId="0" borderId="96" xfId="4" applyFont="1" applyFill="1" applyBorder="1"/>
    <xf numFmtId="49" fontId="4" fillId="0" borderId="96" xfId="4" applyNumberFormat="1" applyFont="1" applyFill="1" applyBorder="1"/>
    <xf numFmtId="0" fontId="12" fillId="0" borderId="97" xfId="4" applyFont="1" applyFill="1" applyBorder="1"/>
    <xf numFmtId="49" fontId="21" fillId="2" borderId="0" xfId="0" applyNumberFormat="1" applyFont="1" applyFill="1" applyBorder="1" applyAlignment="1">
      <alignment horizontal="center" wrapText="1"/>
    </xf>
    <xf numFmtId="49" fontId="31" fillId="4" borderId="8" xfId="4" applyNumberFormat="1" applyFont="1" applyFill="1" applyBorder="1" applyAlignment="1">
      <alignment horizontal="center" vertical="center"/>
    </xf>
    <xf numFmtId="49" fontId="32" fillId="4" borderId="9" xfId="4" applyNumberFormat="1" applyFont="1" applyFill="1" applyBorder="1" applyAlignment="1">
      <alignment horizontal="center" vertical="center"/>
    </xf>
    <xf numFmtId="49" fontId="32" fillId="4" borderId="6" xfId="4" applyNumberFormat="1" applyFont="1" applyFill="1" applyBorder="1" applyAlignment="1">
      <alignment horizontal="center" vertical="center"/>
    </xf>
    <xf numFmtId="164" fontId="30" fillId="4" borderId="46" xfId="0" applyNumberFormat="1" applyFont="1" applyFill="1" applyBorder="1" applyAlignment="1">
      <alignment horizontal="center" vertical="center"/>
    </xf>
    <xf numFmtId="164" fontId="30" fillId="4" borderId="44" xfId="0" applyNumberFormat="1" applyFont="1" applyFill="1" applyBorder="1" applyAlignment="1">
      <alignment horizontal="center" vertical="center"/>
    </xf>
    <xf numFmtId="164" fontId="30" fillId="4" borderId="45" xfId="0" applyNumberFormat="1" applyFont="1" applyFill="1" applyBorder="1" applyAlignment="1">
      <alignment horizontal="center" vertical="center"/>
    </xf>
    <xf numFmtId="164" fontId="30" fillId="4" borderId="47" xfId="0" applyNumberFormat="1" applyFont="1" applyFill="1" applyBorder="1" applyAlignment="1">
      <alignment horizontal="center" vertical="center"/>
    </xf>
    <xf numFmtId="164" fontId="30" fillId="4" borderId="32" xfId="0" applyNumberFormat="1" applyFont="1" applyFill="1" applyBorder="1" applyAlignment="1">
      <alignment horizontal="center" vertical="center"/>
    </xf>
    <xf numFmtId="164" fontId="30" fillId="4" borderId="57" xfId="0" applyNumberFormat="1" applyFont="1" applyFill="1" applyBorder="1" applyAlignment="1">
      <alignment horizontal="center" vertical="center"/>
    </xf>
    <xf numFmtId="164" fontId="30" fillId="0" borderId="0" xfId="0" applyNumberFormat="1" applyFont="1" applyFill="1" applyBorder="1" applyAlignment="1">
      <alignment horizontal="center" vertical="center"/>
    </xf>
    <xf numFmtId="164" fontId="30" fillId="0" borderId="11" xfId="0" applyNumberFormat="1" applyFont="1" applyFill="1" applyBorder="1" applyAlignment="1">
      <alignment horizontal="center" vertical="center"/>
    </xf>
    <xf numFmtId="49" fontId="33" fillId="2" borderId="15" xfId="0" applyNumberFormat="1" applyFont="1" applyFill="1" applyBorder="1" applyAlignment="1">
      <alignment horizontal="center" wrapText="1"/>
    </xf>
    <xf numFmtId="49" fontId="33" fillId="2" borderId="0" xfId="0" applyNumberFormat="1" applyFont="1" applyFill="1" applyBorder="1" applyAlignment="1">
      <alignment horizontal="center" wrapText="1"/>
    </xf>
    <xf numFmtId="49" fontId="33" fillId="2" borderId="11" xfId="0" applyNumberFormat="1" applyFont="1" applyFill="1" applyBorder="1" applyAlignment="1">
      <alignment horizontal="center" wrapText="1"/>
    </xf>
    <xf numFmtId="164" fontId="30" fillId="4" borderId="43" xfId="0" applyNumberFormat="1" applyFont="1" applyFill="1" applyBorder="1" applyAlignment="1">
      <alignment horizontal="center" vertical="center"/>
    </xf>
    <xf numFmtId="49" fontId="38" fillId="2" borderId="32" xfId="0" applyNumberFormat="1" applyFont="1" applyFill="1" applyBorder="1" applyAlignment="1">
      <alignment horizontal="center" vertical="center"/>
    </xf>
    <xf numFmtId="49" fontId="38" fillId="2" borderId="24" xfId="0" applyNumberFormat="1" applyFont="1" applyFill="1" applyBorder="1" applyAlignment="1">
      <alignment horizontal="center" vertical="center"/>
    </xf>
    <xf numFmtId="49" fontId="38" fillId="2" borderId="43" xfId="0" applyNumberFormat="1" applyFont="1" applyFill="1" applyBorder="1" applyAlignment="1">
      <alignment horizontal="center" vertical="center"/>
    </xf>
    <xf numFmtId="164" fontId="30" fillId="4" borderId="35" xfId="0" applyNumberFormat="1" applyFont="1" applyFill="1" applyBorder="1" applyAlignment="1">
      <alignment horizontal="center" vertical="center"/>
    </xf>
    <xf numFmtId="49" fontId="37" fillId="0" borderId="32" xfId="4" applyNumberFormat="1" applyFont="1" applyFill="1" applyBorder="1" applyAlignment="1">
      <alignment horizontal="center" vertical="center"/>
    </xf>
    <xf numFmtId="0" fontId="16" fillId="0" borderId="57" xfId="4" applyFont="1" applyFill="1" applyBorder="1" applyAlignment="1">
      <alignment horizontal="center" vertical="center"/>
    </xf>
    <xf numFmtId="0" fontId="16" fillId="0" borderId="67" xfId="4" applyFont="1" applyFill="1" applyBorder="1" applyAlignment="1">
      <alignment horizontal="center" vertical="center"/>
    </xf>
    <xf numFmtId="49" fontId="7" fillId="4" borderId="8" xfId="4" applyNumberFormat="1" applyFont="1" applyFill="1" applyBorder="1" applyAlignment="1">
      <alignment horizontal="center" vertical="center"/>
    </xf>
    <xf numFmtId="49" fontId="7" fillId="4" borderId="9" xfId="4" applyNumberFormat="1" applyFont="1" applyFill="1" applyBorder="1" applyAlignment="1">
      <alignment horizontal="center" vertical="center"/>
    </xf>
    <xf numFmtId="49" fontId="7" fillId="4" borderId="6" xfId="4" applyNumberFormat="1" applyFont="1" applyFill="1" applyBorder="1" applyAlignment="1">
      <alignment horizontal="center" vertical="center"/>
    </xf>
    <xf numFmtId="49" fontId="8" fillId="0" borderId="8" xfId="4" applyNumberFormat="1" applyFont="1" applyFill="1" applyBorder="1" applyAlignment="1">
      <alignment horizontal="center" wrapText="1"/>
    </xf>
    <xf numFmtId="49" fontId="8" fillId="0" borderId="9" xfId="4" applyNumberFormat="1" applyFont="1" applyFill="1" applyBorder="1" applyAlignment="1">
      <alignment horizontal="center" wrapText="1"/>
    </xf>
    <xf numFmtId="49" fontId="8" fillId="0" borderId="6" xfId="4" applyNumberFormat="1" applyFont="1" applyFill="1" applyBorder="1" applyAlignment="1">
      <alignment horizontal="center" wrapText="1"/>
    </xf>
  </cellXfs>
  <cellStyles count="5">
    <cellStyle name="Normal" xfId="0" builtinId="0"/>
    <cellStyle name="Normal 2" xfId="1"/>
    <cellStyle name="Normal 2 3" xfId="2"/>
    <cellStyle name="Normal 3" xfId="3"/>
    <cellStyle name="Normal 4" xfId="4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E6F6"/>
      <color rgb="FFFDD7F0"/>
      <color rgb="FFC60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4"/>
  <sheetViews>
    <sheetView showGridLines="0" topLeftCell="D19" zoomScale="12" zoomScaleNormal="12" zoomScaleSheetLayoutView="40" zoomScalePageLayoutView="25" workbookViewId="0">
      <selection activeCell="G36" sqref="G36"/>
    </sheetView>
  </sheetViews>
  <sheetFormatPr defaultColWidth="9.140625" defaultRowHeight="48" customHeight="1"/>
  <cols>
    <col min="1" max="1" width="108" style="12" customWidth="1"/>
    <col min="2" max="2" width="22.85546875" style="15" customWidth="1"/>
    <col min="3" max="3" width="107.85546875" style="12" customWidth="1"/>
    <col min="4" max="4" width="22.7109375" style="15" customWidth="1"/>
    <col min="5" max="5" width="108" style="12" customWidth="1"/>
    <col min="6" max="6" width="22.85546875" style="15" customWidth="1"/>
    <col min="7" max="7" width="108" style="12" customWidth="1"/>
    <col min="8" max="8" width="23.140625" style="15" customWidth="1"/>
    <col min="9" max="9" width="108" style="12" customWidth="1"/>
    <col min="10" max="10" width="22.85546875" style="15" customWidth="1"/>
    <col min="11" max="11" width="107.85546875" style="12" customWidth="1"/>
    <col min="12" max="12" width="23" style="15" customWidth="1"/>
    <col min="13" max="13" width="108" style="12" customWidth="1"/>
    <col min="14" max="14" width="22.5703125" style="15" customWidth="1"/>
    <col min="15" max="15" width="107.7109375" style="12" customWidth="1"/>
    <col min="16" max="16" width="22.85546875" style="15" customWidth="1"/>
    <col min="17" max="17" width="107.7109375" style="12" customWidth="1"/>
    <col min="18" max="18" width="22.85546875" style="15" customWidth="1"/>
    <col min="19" max="19" width="107.85546875" style="12" customWidth="1"/>
    <col min="20" max="20" width="22.85546875" style="15" customWidth="1"/>
    <col min="21" max="21" width="108" style="12" customWidth="1"/>
    <col min="22" max="22" width="22.7109375" style="15" customWidth="1"/>
    <col min="23" max="23" width="107.85546875" style="12" customWidth="1"/>
    <col min="24" max="24" width="22.85546875" style="15" customWidth="1"/>
    <col min="25" max="25" width="108" style="12" customWidth="1"/>
    <col min="26" max="26" width="22.85546875" style="15" customWidth="1"/>
    <col min="27" max="27" width="107.85546875" style="12" customWidth="1"/>
    <col min="28" max="28" width="22.28515625" style="15" customWidth="1"/>
    <col min="29" max="29" width="68.85546875" style="12" customWidth="1"/>
    <col min="30" max="30" width="60.42578125" style="12" customWidth="1"/>
    <col min="31" max="16384" width="9.140625" style="12"/>
  </cols>
  <sheetData>
    <row r="1" spans="1:28" ht="29.25" customHeight="1" thickBot="1">
      <c r="A1" s="120"/>
      <c r="B1" s="71"/>
      <c r="C1" s="72"/>
      <c r="D1" s="71"/>
      <c r="E1" s="72"/>
      <c r="F1" s="71"/>
      <c r="G1" s="72"/>
      <c r="H1" s="71"/>
      <c r="I1" s="72"/>
      <c r="J1" s="71"/>
      <c r="K1" s="72"/>
      <c r="L1" s="71"/>
      <c r="M1" s="72"/>
      <c r="N1" s="71"/>
      <c r="O1" s="72"/>
      <c r="P1" s="71"/>
      <c r="Q1" s="72"/>
      <c r="R1" s="71"/>
      <c r="S1" s="72"/>
      <c r="T1" s="71"/>
      <c r="U1" s="72"/>
      <c r="V1" s="71"/>
      <c r="W1" s="72"/>
      <c r="X1" s="71"/>
      <c r="Y1" s="72"/>
      <c r="Z1" s="71"/>
      <c r="AA1" s="72"/>
      <c r="AB1" s="121"/>
    </row>
    <row r="2" spans="1:28" ht="161.25" customHeight="1">
      <c r="A2" s="265" t="s">
        <v>57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7"/>
    </row>
    <row r="3" spans="1:28" ht="48" customHeight="1" thickBot="1">
      <c r="A3" s="73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74"/>
      <c r="S3" s="75"/>
      <c r="T3" s="74"/>
      <c r="U3" s="75"/>
      <c r="V3" s="74"/>
      <c r="W3" s="75"/>
      <c r="X3" s="74"/>
      <c r="Y3" s="75"/>
      <c r="Z3" s="74"/>
      <c r="AA3" s="75"/>
      <c r="AB3" s="76"/>
    </row>
    <row r="4" spans="1:28" ht="48" customHeight="1" thickBot="1">
      <c r="A4" s="13"/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  <c r="P4" s="4"/>
      <c r="Q4" s="5"/>
      <c r="R4" s="4"/>
      <c r="S4" s="5"/>
      <c r="T4" s="4"/>
      <c r="U4" s="5"/>
      <c r="V4" s="4"/>
      <c r="W4" s="5"/>
      <c r="X4" s="4"/>
      <c r="Y4" s="5"/>
      <c r="Z4" s="4"/>
      <c r="AA4" s="5"/>
      <c r="AB4" s="14"/>
    </row>
    <row r="5" spans="1:28" ht="148.5" customHeight="1" thickBot="1">
      <c r="A5" s="268">
        <v>46279</v>
      </c>
      <c r="B5" s="254"/>
      <c r="C5" s="254"/>
      <c r="D5" s="255"/>
      <c r="E5" s="253">
        <v>46280</v>
      </c>
      <c r="F5" s="254"/>
      <c r="G5" s="254"/>
      <c r="H5" s="255"/>
      <c r="I5" s="253">
        <v>46281</v>
      </c>
      <c r="J5" s="254"/>
      <c r="K5" s="254"/>
      <c r="L5" s="255"/>
      <c r="M5" s="253">
        <v>46282</v>
      </c>
      <c r="N5" s="254"/>
      <c r="O5" s="254"/>
      <c r="P5" s="255"/>
      <c r="Q5" s="253">
        <v>46283</v>
      </c>
      <c r="R5" s="254"/>
      <c r="S5" s="254"/>
      <c r="T5" s="255"/>
      <c r="U5" s="253">
        <v>46284</v>
      </c>
      <c r="V5" s="254"/>
      <c r="W5" s="254"/>
      <c r="X5" s="255"/>
      <c r="Y5" s="253">
        <v>46285</v>
      </c>
      <c r="Z5" s="254"/>
      <c r="AA5" s="254"/>
      <c r="AB5" s="256"/>
    </row>
    <row r="6" spans="1:28" ht="61.5" customHeight="1">
      <c r="A6" s="146" t="s">
        <v>0</v>
      </c>
      <c r="B6" s="147" t="s">
        <v>1</v>
      </c>
      <c r="C6" s="148" t="s">
        <v>2</v>
      </c>
      <c r="D6" s="149" t="s">
        <v>1</v>
      </c>
      <c r="E6" s="146" t="s">
        <v>0</v>
      </c>
      <c r="F6" s="147" t="s">
        <v>1</v>
      </c>
      <c r="G6" s="148" t="s">
        <v>2</v>
      </c>
      <c r="H6" s="149" t="s">
        <v>1</v>
      </c>
      <c r="I6" s="146" t="s">
        <v>0</v>
      </c>
      <c r="J6" s="147" t="s">
        <v>1</v>
      </c>
      <c r="K6" s="148" t="s">
        <v>2</v>
      </c>
      <c r="L6" s="149" t="s">
        <v>1</v>
      </c>
      <c r="M6" s="146" t="s">
        <v>0</v>
      </c>
      <c r="N6" s="147" t="s">
        <v>1</v>
      </c>
      <c r="O6" s="148" t="s">
        <v>2</v>
      </c>
      <c r="P6" s="149" t="s">
        <v>1</v>
      </c>
      <c r="Q6" s="146" t="s">
        <v>0</v>
      </c>
      <c r="R6" s="147" t="s">
        <v>1</v>
      </c>
      <c r="S6" s="148" t="s">
        <v>2</v>
      </c>
      <c r="T6" s="149" t="s">
        <v>1</v>
      </c>
      <c r="U6" s="146" t="s">
        <v>0</v>
      </c>
      <c r="V6" s="147" t="s">
        <v>1</v>
      </c>
      <c r="W6" s="148" t="s">
        <v>2</v>
      </c>
      <c r="X6" s="149" t="s">
        <v>1</v>
      </c>
      <c r="Y6" s="146" t="s">
        <v>0</v>
      </c>
      <c r="Z6" s="147" t="s">
        <v>1</v>
      </c>
      <c r="AA6" s="148" t="s">
        <v>2</v>
      </c>
      <c r="AB6" s="150" t="s">
        <v>1</v>
      </c>
    </row>
    <row r="7" spans="1:28" ht="164.25" customHeight="1">
      <c r="A7" s="151" t="s">
        <v>140</v>
      </c>
      <c r="B7" s="152">
        <v>181</v>
      </c>
      <c r="C7" s="153" t="s">
        <v>59</v>
      </c>
      <c r="D7" s="154">
        <v>68</v>
      </c>
      <c r="E7" s="151" t="s">
        <v>24</v>
      </c>
      <c r="F7" s="152">
        <v>137</v>
      </c>
      <c r="G7" s="153" t="s">
        <v>46</v>
      </c>
      <c r="H7" s="154">
        <v>12</v>
      </c>
      <c r="I7" s="151" t="s">
        <v>141</v>
      </c>
      <c r="J7" s="152">
        <v>143</v>
      </c>
      <c r="K7" s="153" t="s">
        <v>145</v>
      </c>
      <c r="L7" s="154">
        <v>33</v>
      </c>
      <c r="M7" s="151" t="s">
        <v>29</v>
      </c>
      <c r="N7" s="152">
        <v>125</v>
      </c>
      <c r="O7" s="153" t="s">
        <v>34</v>
      </c>
      <c r="P7" s="154">
        <v>7</v>
      </c>
      <c r="Q7" s="151" t="s">
        <v>139</v>
      </c>
      <c r="R7" s="155">
        <v>95</v>
      </c>
      <c r="S7" s="153" t="s">
        <v>78</v>
      </c>
      <c r="T7" s="154">
        <v>34</v>
      </c>
      <c r="U7" s="151" t="s">
        <v>51</v>
      </c>
      <c r="V7" s="152">
        <v>114</v>
      </c>
      <c r="W7" s="153" t="s">
        <v>46</v>
      </c>
      <c r="X7" s="154">
        <v>12</v>
      </c>
      <c r="Y7" s="151" t="s">
        <v>30</v>
      </c>
      <c r="Z7" s="152">
        <v>119</v>
      </c>
      <c r="AA7" s="153" t="s">
        <v>148</v>
      </c>
      <c r="AB7" s="154">
        <v>19</v>
      </c>
    </row>
    <row r="8" spans="1:28" ht="202.5" customHeight="1">
      <c r="A8" s="151" t="s">
        <v>101</v>
      </c>
      <c r="B8" s="152">
        <v>323</v>
      </c>
      <c r="C8" s="153" t="s">
        <v>78</v>
      </c>
      <c r="D8" s="154">
        <v>34</v>
      </c>
      <c r="E8" s="151" t="s">
        <v>73</v>
      </c>
      <c r="F8" s="152">
        <v>112</v>
      </c>
      <c r="G8" s="153" t="s">
        <v>144</v>
      </c>
      <c r="H8" s="154">
        <v>29</v>
      </c>
      <c r="I8" s="161" t="s">
        <v>63</v>
      </c>
      <c r="J8" s="156">
        <v>284</v>
      </c>
      <c r="K8" s="153" t="s">
        <v>26</v>
      </c>
      <c r="L8" s="154">
        <v>21</v>
      </c>
      <c r="M8" s="151" t="s">
        <v>65</v>
      </c>
      <c r="N8" s="152">
        <v>321</v>
      </c>
      <c r="O8" s="153" t="s">
        <v>39</v>
      </c>
      <c r="P8" s="154">
        <v>32</v>
      </c>
      <c r="Q8" s="151" t="s">
        <v>75</v>
      </c>
      <c r="R8" s="152">
        <v>337</v>
      </c>
      <c r="S8" s="153" t="s">
        <v>25</v>
      </c>
      <c r="T8" s="154">
        <v>8</v>
      </c>
      <c r="U8" s="151" t="s">
        <v>98</v>
      </c>
      <c r="V8" s="152">
        <v>319</v>
      </c>
      <c r="W8" s="153" t="s">
        <v>28</v>
      </c>
      <c r="X8" s="154">
        <v>41</v>
      </c>
      <c r="Y8" s="190" t="s">
        <v>97</v>
      </c>
      <c r="Z8" s="152">
        <v>328</v>
      </c>
      <c r="AA8" s="153" t="s">
        <v>48</v>
      </c>
      <c r="AB8" s="154">
        <v>39</v>
      </c>
    </row>
    <row r="9" spans="1:28" ht="167.25" customHeight="1">
      <c r="A9" s="151" t="s">
        <v>146</v>
      </c>
      <c r="B9" s="152">
        <v>281</v>
      </c>
      <c r="C9" s="153" t="s">
        <v>47</v>
      </c>
      <c r="D9" s="154">
        <v>54</v>
      </c>
      <c r="E9" s="151" t="s">
        <v>55</v>
      </c>
      <c r="F9" s="152">
        <v>302</v>
      </c>
      <c r="G9" s="153" t="s">
        <v>25</v>
      </c>
      <c r="H9" s="154">
        <v>8</v>
      </c>
      <c r="I9" s="151" t="s">
        <v>52</v>
      </c>
      <c r="J9" s="152">
        <v>256</v>
      </c>
      <c r="K9" s="153" t="s">
        <v>68</v>
      </c>
      <c r="L9" s="154">
        <v>54</v>
      </c>
      <c r="M9" s="151" t="s">
        <v>80</v>
      </c>
      <c r="N9" s="152">
        <v>226</v>
      </c>
      <c r="O9" s="153" t="s">
        <v>60</v>
      </c>
      <c r="P9" s="154">
        <v>42</v>
      </c>
      <c r="Q9" s="151" t="s">
        <v>77</v>
      </c>
      <c r="R9" s="152">
        <v>358</v>
      </c>
      <c r="S9" s="153" t="s">
        <v>26</v>
      </c>
      <c r="T9" s="154">
        <v>21</v>
      </c>
      <c r="U9" s="151" t="s">
        <v>92</v>
      </c>
      <c r="V9" s="152">
        <v>257</v>
      </c>
      <c r="W9" s="153" t="s">
        <v>47</v>
      </c>
      <c r="X9" s="154">
        <v>54</v>
      </c>
      <c r="Y9" s="151" t="s">
        <v>82</v>
      </c>
      <c r="Z9" s="152">
        <v>225</v>
      </c>
      <c r="AA9" s="153" t="s">
        <v>25</v>
      </c>
      <c r="AB9" s="154">
        <v>8</v>
      </c>
    </row>
    <row r="10" spans="1:28" ht="164.25" customHeight="1">
      <c r="A10" s="151" t="s">
        <v>37</v>
      </c>
      <c r="B10" s="58">
        <v>75</v>
      </c>
      <c r="C10" s="153" t="s">
        <v>26</v>
      </c>
      <c r="D10" s="157">
        <v>21</v>
      </c>
      <c r="E10" s="158" t="s">
        <v>54</v>
      </c>
      <c r="F10" s="152">
        <v>83</v>
      </c>
      <c r="G10" s="122" t="s">
        <v>32</v>
      </c>
      <c r="H10" s="123">
        <v>75</v>
      </c>
      <c r="I10" s="151" t="s">
        <v>66</v>
      </c>
      <c r="J10" s="152">
        <v>326</v>
      </c>
      <c r="K10" s="153" t="s">
        <v>58</v>
      </c>
      <c r="L10" s="154">
        <v>42</v>
      </c>
      <c r="M10" s="62" t="s">
        <v>79</v>
      </c>
      <c r="N10" s="159">
        <v>99</v>
      </c>
      <c r="O10" s="153" t="s">
        <v>31</v>
      </c>
      <c r="P10" s="154">
        <v>39</v>
      </c>
      <c r="Q10" s="67" t="s">
        <v>27</v>
      </c>
      <c r="R10" s="58">
        <v>110</v>
      </c>
      <c r="S10" s="153" t="s">
        <v>43</v>
      </c>
      <c r="T10" s="154">
        <v>87</v>
      </c>
      <c r="U10" s="160" t="s">
        <v>36</v>
      </c>
      <c r="V10" s="152">
        <v>180</v>
      </c>
      <c r="W10" s="153" t="s">
        <v>38</v>
      </c>
      <c r="X10" s="154">
        <v>36</v>
      </c>
      <c r="Y10" s="161" t="s">
        <v>69</v>
      </c>
      <c r="Z10" s="156">
        <v>98</v>
      </c>
      <c r="AA10" s="153" t="s">
        <v>45</v>
      </c>
      <c r="AB10" s="154">
        <v>24</v>
      </c>
    </row>
    <row r="11" spans="1:28" ht="165" customHeight="1" thickBot="1">
      <c r="A11" s="162"/>
      <c r="B11" s="157"/>
      <c r="C11" s="153" t="s">
        <v>38</v>
      </c>
      <c r="D11" s="154">
        <v>36</v>
      </c>
      <c r="E11" s="151"/>
      <c r="F11" s="152"/>
      <c r="G11" s="153" t="s">
        <v>143</v>
      </c>
      <c r="H11" s="154">
        <v>71</v>
      </c>
      <c r="I11" s="63"/>
      <c r="J11" s="85"/>
      <c r="K11" s="153" t="s">
        <v>32</v>
      </c>
      <c r="L11" s="154">
        <v>75</v>
      </c>
      <c r="M11" s="151"/>
      <c r="N11" s="152"/>
      <c r="O11" s="153" t="s">
        <v>49</v>
      </c>
      <c r="P11" s="154">
        <v>48</v>
      </c>
      <c r="Q11" s="66"/>
      <c r="R11" s="124"/>
      <c r="S11" s="125" t="s">
        <v>35</v>
      </c>
      <c r="T11" s="126">
        <v>76</v>
      </c>
      <c r="U11" s="64"/>
      <c r="V11" s="124"/>
      <c r="W11" s="125" t="s">
        <v>147</v>
      </c>
      <c r="X11" s="126">
        <v>26</v>
      </c>
      <c r="Y11" s="151"/>
      <c r="Z11" s="152"/>
      <c r="AA11" s="153" t="s">
        <v>61</v>
      </c>
      <c r="AB11" s="154">
        <v>48</v>
      </c>
    </row>
    <row r="12" spans="1:28" ht="108" customHeight="1" thickBot="1">
      <c r="A12" s="59" t="s">
        <v>3</v>
      </c>
      <c r="B12" s="60">
        <f>SUM(B7:B10)</f>
        <v>860</v>
      </c>
      <c r="C12" s="59" t="s">
        <v>3</v>
      </c>
      <c r="D12" s="61">
        <f>SUM(D7:D11)</f>
        <v>213</v>
      </c>
      <c r="E12" s="59" t="s">
        <v>3</v>
      </c>
      <c r="F12" s="60">
        <f>SUM(F7:F10)</f>
        <v>634</v>
      </c>
      <c r="G12" s="59" t="s">
        <v>3</v>
      </c>
      <c r="H12" s="61">
        <f>SUM(H7:H11)</f>
        <v>195</v>
      </c>
      <c r="I12" s="59" t="s">
        <v>3</v>
      </c>
      <c r="J12" s="60">
        <f>SUM(J7:J10)</f>
        <v>1009</v>
      </c>
      <c r="K12" s="59" t="s">
        <v>3</v>
      </c>
      <c r="L12" s="61">
        <f>SUM(L7:L11)</f>
        <v>225</v>
      </c>
      <c r="M12" s="59" t="s">
        <v>3</v>
      </c>
      <c r="N12" s="60">
        <f>SUM(N7:N10)</f>
        <v>771</v>
      </c>
      <c r="O12" s="59" t="s">
        <v>3</v>
      </c>
      <c r="P12" s="61">
        <f>SUM(P7:P11)</f>
        <v>168</v>
      </c>
      <c r="Q12" s="59" t="s">
        <v>3</v>
      </c>
      <c r="R12" s="60">
        <f>SUM(R7:R10)</f>
        <v>900</v>
      </c>
      <c r="S12" s="59" t="s">
        <v>3</v>
      </c>
      <c r="T12" s="61">
        <f>SUM(T7:T11)</f>
        <v>226</v>
      </c>
      <c r="U12" s="59" t="s">
        <v>3</v>
      </c>
      <c r="V12" s="60">
        <f>SUM(V7:V10)</f>
        <v>870</v>
      </c>
      <c r="W12" s="59" t="s">
        <v>3</v>
      </c>
      <c r="X12" s="61">
        <f>SUM(X7:X11)</f>
        <v>169</v>
      </c>
      <c r="Y12" s="59" t="s">
        <v>3</v>
      </c>
      <c r="Z12" s="60">
        <f>SUM(Z7:Z10)</f>
        <v>770</v>
      </c>
      <c r="AA12" s="59" t="s">
        <v>3</v>
      </c>
      <c r="AB12" s="61">
        <f>SUM(AB7:AB11)</f>
        <v>138</v>
      </c>
    </row>
    <row r="13" spans="1:28" ht="48" customHeight="1" thickBot="1">
      <c r="A13" s="33"/>
      <c r="B13" s="34"/>
      <c r="C13" s="35"/>
      <c r="D13" s="34"/>
      <c r="E13" s="3"/>
      <c r="F13" s="2"/>
      <c r="G13" s="3"/>
      <c r="H13" s="2"/>
      <c r="I13" s="3"/>
      <c r="J13" s="2"/>
      <c r="K13" s="3"/>
      <c r="L13" s="2"/>
      <c r="M13" s="3"/>
      <c r="N13" s="2"/>
      <c r="O13" s="3"/>
      <c r="P13" s="2"/>
      <c r="Q13" s="3"/>
      <c r="R13" s="2"/>
      <c r="S13" s="3"/>
      <c r="T13" s="2"/>
      <c r="U13" s="5"/>
      <c r="V13" s="4"/>
      <c r="W13" s="5"/>
      <c r="X13" s="4"/>
      <c r="Y13" s="16"/>
      <c r="Z13" s="2"/>
      <c r="AA13" s="3"/>
      <c r="AB13" s="17"/>
    </row>
    <row r="14" spans="1:28" ht="149.25" customHeight="1" thickBot="1">
      <c r="A14" s="253">
        <v>46286</v>
      </c>
      <c r="B14" s="254"/>
      <c r="C14" s="254"/>
      <c r="D14" s="255"/>
      <c r="E14" s="253">
        <v>46287</v>
      </c>
      <c r="F14" s="254"/>
      <c r="G14" s="254"/>
      <c r="H14" s="255"/>
      <c r="I14" s="253">
        <v>46288</v>
      </c>
      <c r="J14" s="254"/>
      <c r="K14" s="254"/>
      <c r="L14" s="255"/>
      <c r="M14" s="253">
        <v>46289</v>
      </c>
      <c r="N14" s="254"/>
      <c r="O14" s="254"/>
      <c r="P14" s="255"/>
      <c r="Q14" s="253">
        <v>46290</v>
      </c>
      <c r="R14" s="254"/>
      <c r="S14" s="254"/>
      <c r="T14" s="255"/>
      <c r="U14" s="253">
        <v>46291</v>
      </c>
      <c r="V14" s="254"/>
      <c r="W14" s="254"/>
      <c r="X14" s="255"/>
      <c r="Y14" s="253">
        <v>46292</v>
      </c>
      <c r="Z14" s="254"/>
      <c r="AA14" s="254"/>
      <c r="AB14" s="256"/>
    </row>
    <row r="15" spans="1:28" ht="61.5" customHeight="1">
      <c r="A15" s="146" t="s">
        <v>0</v>
      </c>
      <c r="B15" s="147" t="s">
        <v>1</v>
      </c>
      <c r="C15" s="148" t="s">
        <v>2</v>
      </c>
      <c r="D15" s="149" t="s">
        <v>1</v>
      </c>
      <c r="E15" s="146" t="s">
        <v>0</v>
      </c>
      <c r="F15" s="147" t="s">
        <v>1</v>
      </c>
      <c r="G15" s="148" t="s">
        <v>2</v>
      </c>
      <c r="H15" s="149" t="s">
        <v>1</v>
      </c>
      <c r="I15" s="146" t="s">
        <v>0</v>
      </c>
      <c r="J15" s="147" t="s">
        <v>1</v>
      </c>
      <c r="K15" s="148" t="s">
        <v>2</v>
      </c>
      <c r="L15" s="149" t="s">
        <v>1</v>
      </c>
      <c r="M15" s="146" t="s">
        <v>0</v>
      </c>
      <c r="N15" s="147" t="s">
        <v>1</v>
      </c>
      <c r="O15" s="148" t="s">
        <v>2</v>
      </c>
      <c r="P15" s="149" t="s">
        <v>1</v>
      </c>
      <c r="Q15" s="146" t="s">
        <v>0</v>
      </c>
      <c r="R15" s="147" t="s">
        <v>1</v>
      </c>
      <c r="S15" s="148" t="s">
        <v>2</v>
      </c>
      <c r="T15" s="149" t="s">
        <v>1</v>
      </c>
      <c r="U15" s="146" t="s">
        <v>0</v>
      </c>
      <c r="V15" s="147" t="s">
        <v>1</v>
      </c>
      <c r="W15" s="148" t="s">
        <v>2</v>
      </c>
      <c r="X15" s="149" t="s">
        <v>1</v>
      </c>
      <c r="Y15" s="146" t="s">
        <v>0</v>
      </c>
      <c r="Z15" s="147" t="s">
        <v>1</v>
      </c>
      <c r="AA15" s="148" t="s">
        <v>2</v>
      </c>
      <c r="AB15" s="150" t="s">
        <v>1</v>
      </c>
    </row>
    <row r="16" spans="1:28" ht="165" customHeight="1">
      <c r="A16" s="162" t="s">
        <v>141</v>
      </c>
      <c r="B16" s="152">
        <v>143</v>
      </c>
      <c r="C16" s="153" t="s">
        <v>26</v>
      </c>
      <c r="D16" s="157">
        <v>21</v>
      </c>
      <c r="E16" s="151" t="s">
        <v>29</v>
      </c>
      <c r="F16" s="152">
        <v>125</v>
      </c>
      <c r="G16" s="153" t="s">
        <v>84</v>
      </c>
      <c r="H16" s="154">
        <v>29</v>
      </c>
      <c r="I16" s="151" t="s">
        <v>51</v>
      </c>
      <c r="J16" s="152">
        <v>114</v>
      </c>
      <c r="K16" s="153" t="s">
        <v>48</v>
      </c>
      <c r="L16" s="154">
        <v>39</v>
      </c>
      <c r="M16" s="151" t="s">
        <v>140</v>
      </c>
      <c r="N16" s="152">
        <v>181</v>
      </c>
      <c r="O16" s="153" t="s">
        <v>26</v>
      </c>
      <c r="P16" s="154">
        <v>21</v>
      </c>
      <c r="Q16" s="151" t="s">
        <v>24</v>
      </c>
      <c r="R16" s="152">
        <v>137</v>
      </c>
      <c r="S16" s="153" t="s">
        <v>39</v>
      </c>
      <c r="T16" s="154">
        <v>32</v>
      </c>
      <c r="U16" s="151" t="s">
        <v>139</v>
      </c>
      <c r="V16" s="152">
        <v>95</v>
      </c>
      <c r="W16" s="153" t="s">
        <v>148</v>
      </c>
      <c r="X16" s="154">
        <v>19</v>
      </c>
      <c r="Y16" s="151" t="s">
        <v>138</v>
      </c>
      <c r="Z16" s="152">
        <v>131</v>
      </c>
      <c r="AA16" s="153" t="s">
        <v>78</v>
      </c>
      <c r="AB16" s="154">
        <v>34</v>
      </c>
    </row>
    <row r="17" spans="1:28" ht="207" customHeight="1">
      <c r="A17" s="191" t="s">
        <v>76</v>
      </c>
      <c r="B17" s="152">
        <v>298</v>
      </c>
      <c r="C17" s="153" t="s">
        <v>58</v>
      </c>
      <c r="D17" s="154">
        <v>42</v>
      </c>
      <c r="E17" s="151" t="s">
        <v>71</v>
      </c>
      <c r="F17" s="152">
        <v>252</v>
      </c>
      <c r="G17" s="153" t="s">
        <v>85</v>
      </c>
      <c r="H17" s="154">
        <v>21</v>
      </c>
      <c r="I17" s="190" t="s">
        <v>137</v>
      </c>
      <c r="J17" s="152">
        <v>233</v>
      </c>
      <c r="K17" s="153" t="s">
        <v>46</v>
      </c>
      <c r="L17" s="154">
        <v>12</v>
      </c>
      <c r="M17" s="151" t="s">
        <v>72</v>
      </c>
      <c r="N17" s="152">
        <v>358</v>
      </c>
      <c r="O17" s="153" t="s">
        <v>88</v>
      </c>
      <c r="P17" s="154">
        <v>75</v>
      </c>
      <c r="Q17" s="151" t="s">
        <v>134</v>
      </c>
      <c r="R17" s="152">
        <v>143</v>
      </c>
      <c r="S17" s="153" t="s">
        <v>78</v>
      </c>
      <c r="T17" s="154">
        <v>34</v>
      </c>
      <c r="U17" s="151" t="s">
        <v>102</v>
      </c>
      <c r="V17" s="152">
        <v>242</v>
      </c>
      <c r="W17" s="153" t="s">
        <v>46</v>
      </c>
      <c r="X17" s="154">
        <v>12</v>
      </c>
      <c r="Y17" s="151" t="s">
        <v>67</v>
      </c>
      <c r="Z17" s="152">
        <v>208</v>
      </c>
      <c r="AA17" s="153" t="s">
        <v>32</v>
      </c>
      <c r="AB17" s="154">
        <v>75</v>
      </c>
    </row>
    <row r="18" spans="1:28" ht="165" customHeight="1">
      <c r="A18" s="151" t="s">
        <v>89</v>
      </c>
      <c r="B18" s="152">
        <v>281</v>
      </c>
      <c r="C18" s="153" t="s">
        <v>34</v>
      </c>
      <c r="D18" s="157">
        <v>7</v>
      </c>
      <c r="E18" s="151" t="s">
        <v>83</v>
      </c>
      <c r="F18" s="152">
        <v>227</v>
      </c>
      <c r="G18" s="153" t="s">
        <v>50</v>
      </c>
      <c r="H18" s="154">
        <v>72</v>
      </c>
      <c r="I18" s="151" t="s">
        <v>40</v>
      </c>
      <c r="J18" s="152">
        <v>258</v>
      </c>
      <c r="K18" s="153" t="s">
        <v>47</v>
      </c>
      <c r="L18" s="154">
        <v>54</v>
      </c>
      <c r="M18" s="151" t="s">
        <v>99</v>
      </c>
      <c r="N18" s="152">
        <v>346</v>
      </c>
      <c r="O18" s="153" t="s">
        <v>25</v>
      </c>
      <c r="P18" s="154">
        <v>8</v>
      </c>
      <c r="Q18" s="151" t="s">
        <v>55</v>
      </c>
      <c r="R18" s="152">
        <v>302</v>
      </c>
      <c r="S18" s="153" t="s">
        <v>53</v>
      </c>
      <c r="T18" s="154">
        <v>5</v>
      </c>
      <c r="U18" s="151" t="s">
        <v>52</v>
      </c>
      <c r="V18" s="152">
        <v>256</v>
      </c>
      <c r="W18" s="153" t="s">
        <v>28</v>
      </c>
      <c r="X18" s="154">
        <v>41</v>
      </c>
      <c r="Y18" s="151" t="s">
        <v>96</v>
      </c>
      <c r="Z18" s="152">
        <v>226</v>
      </c>
      <c r="AA18" s="153" t="s">
        <v>90</v>
      </c>
      <c r="AB18" s="154">
        <v>42</v>
      </c>
    </row>
    <row r="19" spans="1:28" ht="165" customHeight="1">
      <c r="A19" s="151" t="s">
        <v>94</v>
      </c>
      <c r="B19" s="152">
        <v>287</v>
      </c>
      <c r="C19" s="153" t="s">
        <v>91</v>
      </c>
      <c r="D19" s="154">
        <v>10</v>
      </c>
      <c r="E19" s="151" t="s">
        <v>79</v>
      </c>
      <c r="F19" s="58">
        <v>99</v>
      </c>
      <c r="G19" s="153" t="s">
        <v>86</v>
      </c>
      <c r="H19" s="154">
        <v>82</v>
      </c>
      <c r="I19" s="161" t="s">
        <v>54</v>
      </c>
      <c r="J19" s="156">
        <v>83</v>
      </c>
      <c r="K19" s="153" t="s">
        <v>38</v>
      </c>
      <c r="L19" s="154">
        <v>36</v>
      </c>
      <c r="M19" s="62" t="s">
        <v>27</v>
      </c>
      <c r="N19" s="159">
        <v>110</v>
      </c>
      <c r="O19" s="153" t="s">
        <v>144</v>
      </c>
      <c r="P19" s="154">
        <v>29</v>
      </c>
      <c r="Q19" s="62" t="s">
        <v>93</v>
      </c>
      <c r="R19" s="159">
        <v>73</v>
      </c>
      <c r="S19" s="153" t="s">
        <v>68</v>
      </c>
      <c r="T19" s="154">
        <v>54</v>
      </c>
      <c r="U19" s="62" t="s">
        <v>70</v>
      </c>
      <c r="V19" s="159">
        <v>178</v>
      </c>
      <c r="W19" s="153" t="s">
        <v>25</v>
      </c>
      <c r="X19" s="154">
        <v>8</v>
      </c>
      <c r="Y19" s="62" t="s">
        <v>36</v>
      </c>
      <c r="Z19" s="159">
        <v>180</v>
      </c>
      <c r="AA19" s="153" t="s">
        <v>144</v>
      </c>
      <c r="AB19" s="154">
        <v>29</v>
      </c>
    </row>
    <row r="20" spans="1:28" ht="162.75" customHeight="1" thickBot="1">
      <c r="A20" s="151"/>
      <c r="B20" s="152"/>
      <c r="C20" s="153" t="s">
        <v>68</v>
      </c>
      <c r="D20" s="157">
        <v>54</v>
      </c>
      <c r="E20" s="151"/>
      <c r="F20" s="152"/>
      <c r="G20" s="153" t="s">
        <v>87</v>
      </c>
      <c r="H20" s="154">
        <v>138</v>
      </c>
      <c r="I20" s="151"/>
      <c r="J20" s="152"/>
      <c r="K20" s="153" t="s">
        <v>64</v>
      </c>
      <c r="L20" s="154">
        <v>75</v>
      </c>
      <c r="M20" s="151"/>
      <c r="N20" s="152"/>
      <c r="O20" s="153" t="s">
        <v>59</v>
      </c>
      <c r="P20" s="154">
        <v>68</v>
      </c>
      <c r="Q20" s="151"/>
      <c r="R20" s="152"/>
      <c r="S20" s="153" t="s">
        <v>81</v>
      </c>
      <c r="T20" s="154">
        <v>68</v>
      </c>
      <c r="U20" s="151"/>
      <c r="V20" s="152"/>
      <c r="W20" s="153" t="s">
        <v>35</v>
      </c>
      <c r="X20" s="154">
        <v>76</v>
      </c>
      <c r="Y20" s="151"/>
      <c r="Z20" s="152"/>
      <c r="AA20" s="153" t="s">
        <v>61</v>
      </c>
      <c r="AB20" s="154">
        <v>48</v>
      </c>
    </row>
    <row r="21" spans="1:28" ht="108" customHeight="1" thickBot="1">
      <c r="A21" s="59" t="s">
        <v>3</v>
      </c>
      <c r="B21" s="60">
        <f>SUM(B16:B19)</f>
        <v>1009</v>
      </c>
      <c r="C21" s="59" t="s">
        <v>3</v>
      </c>
      <c r="D21" s="61">
        <f>SUM(D16:D20)</f>
        <v>134</v>
      </c>
      <c r="E21" s="59" t="s">
        <v>3</v>
      </c>
      <c r="F21" s="60">
        <f>SUM(F16:F19)</f>
        <v>703</v>
      </c>
      <c r="G21" s="59" t="s">
        <v>3</v>
      </c>
      <c r="H21" s="61">
        <f>SUM(H16:H20)</f>
        <v>342</v>
      </c>
      <c r="I21" s="59" t="s">
        <v>3</v>
      </c>
      <c r="J21" s="60">
        <f>SUM(J16:J19)</f>
        <v>688</v>
      </c>
      <c r="K21" s="59" t="s">
        <v>3</v>
      </c>
      <c r="L21" s="61">
        <f>SUM(L16:L20)</f>
        <v>216</v>
      </c>
      <c r="M21" s="59" t="s">
        <v>3</v>
      </c>
      <c r="N21" s="60">
        <f>SUM(N16:N19)</f>
        <v>995</v>
      </c>
      <c r="O21" s="59" t="s">
        <v>3</v>
      </c>
      <c r="P21" s="61">
        <f>SUM(P16:P20)</f>
        <v>201</v>
      </c>
      <c r="Q21" s="59" t="s">
        <v>3</v>
      </c>
      <c r="R21" s="60">
        <f>SUM(R16:R19)</f>
        <v>655</v>
      </c>
      <c r="S21" s="59" t="s">
        <v>3</v>
      </c>
      <c r="T21" s="61">
        <f>SUM(T16:T20)</f>
        <v>193</v>
      </c>
      <c r="U21" s="59" t="s">
        <v>3</v>
      </c>
      <c r="V21" s="60">
        <f>SUM(V16:V19)</f>
        <v>771</v>
      </c>
      <c r="W21" s="59" t="s">
        <v>3</v>
      </c>
      <c r="X21" s="61">
        <f>SUM(X16:X20)</f>
        <v>156</v>
      </c>
      <c r="Y21" s="59" t="s">
        <v>3</v>
      </c>
      <c r="Z21" s="60">
        <f>SUM(Z16:Z19)</f>
        <v>745</v>
      </c>
      <c r="AA21" s="59" t="s">
        <v>3</v>
      </c>
      <c r="AB21" s="61">
        <f>SUM(AB16:AB20)</f>
        <v>228</v>
      </c>
    </row>
    <row r="22" spans="1:28" ht="48" customHeight="1" thickBot="1">
      <c r="A22" s="13"/>
      <c r="B22" s="4"/>
      <c r="C22" s="5"/>
      <c r="D22" s="4"/>
      <c r="E22" s="5"/>
      <c r="F22" s="4"/>
      <c r="G22" s="5"/>
      <c r="H22" s="4"/>
      <c r="I22" s="1"/>
      <c r="J22" s="4"/>
      <c r="K22" s="5"/>
      <c r="L22" s="4"/>
      <c r="M22" s="5"/>
      <c r="N22" s="4"/>
      <c r="O22" s="5"/>
      <c r="P22" s="4"/>
      <c r="Q22" s="5"/>
      <c r="R22" s="4"/>
      <c r="S22" s="5"/>
      <c r="T22" s="4"/>
      <c r="U22" s="5"/>
      <c r="V22" s="4"/>
      <c r="W22" s="5"/>
      <c r="X22" s="4"/>
      <c r="Y22" s="5"/>
      <c r="Z22" s="4"/>
      <c r="AA22" s="5"/>
      <c r="AB22" s="14"/>
    </row>
    <row r="23" spans="1:28" ht="148.5" customHeight="1" thickBot="1">
      <c r="A23" s="257">
        <v>46293</v>
      </c>
      <c r="B23" s="258"/>
      <c r="C23" s="258"/>
      <c r="D23" s="258"/>
      <c r="E23" s="257">
        <v>46294</v>
      </c>
      <c r="F23" s="258"/>
      <c r="G23" s="258"/>
      <c r="H23" s="258"/>
      <c r="I23" s="257">
        <v>46295</v>
      </c>
      <c r="J23" s="258"/>
      <c r="K23" s="258"/>
      <c r="L23" s="264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60"/>
    </row>
    <row r="24" spans="1:28" ht="61.5" customHeight="1">
      <c r="A24" s="65" t="s">
        <v>0</v>
      </c>
      <c r="B24" s="163" t="s">
        <v>1</v>
      </c>
      <c r="C24" s="164" t="s">
        <v>2</v>
      </c>
      <c r="D24" s="165" t="s">
        <v>1</v>
      </c>
      <c r="E24" s="65" t="s">
        <v>0</v>
      </c>
      <c r="F24" s="163" t="s">
        <v>1</v>
      </c>
      <c r="G24" s="164" t="s">
        <v>2</v>
      </c>
      <c r="H24" s="165" t="s">
        <v>1</v>
      </c>
      <c r="I24" s="65" t="s">
        <v>0</v>
      </c>
      <c r="J24" s="163" t="s">
        <v>1</v>
      </c>
      <c r="K24" s="164" t="s">
        <v>2</v>
      </c>
      <c r="L24" s="166" t="s">
        <v>1</v>
      </c>
      <c r="M24" s="114"/>
      <c r="N24" s="115"/>
      <c r="O24" s="114"/>
      <c r="P24" s="115"/>
      <c r="Q24" s="114"/>
      <c r="R24" s="115"/>
      <c r="S24" s="114"/>
      <c r="T24" s="115"/>
      <c r="U24" s="114"/>
      <c r="V24" s="115"/>
      <c r="W24" s="114"/>
      <c r="X24" s="115"/>
      <c r="Y24" s="114"/>
      <c r="Z24" s="115"/>
      <c r="AA24" s="114"/>
      <c r="AB24" s="127"/>
    </row>
    <row r="25" spans="1:28" ht="165" customHeight="1">
      <c r="A25" s="162" t="s">
        <v>29</v>
      </c>
      <c r="B25" s="152">
        <v>125</v>
      </c>
      <c r="C25" s="153" t="s">
        <v>48</v>
      </c>
      <c r="D25" s="154">
        <v>39</v>
      </c>
      <c r="E25" s="162" t="s">
        <v>142</v>
      </c>
      <c r="F25" s="152">
        <v>137</v>
      </c>
      <c r="G25" s="153" t="s">
        <v>100</v>
      </c>
      <c r="H25" s="154">
        <v>43</v>
      </c>
      <c r="I25" s="151" t="s">
        <v>24</v>
      </c>
      <c r="J25" s="152">
        <v>137</v>
      </c>
      <c r="K25" s="153" t="s">
        <v>35</v>
      </c>
      <c r="L25" s="154">
        <v>76</v>
      </c>
      <c r="M25" s="116"/>
      <c r="N25" s="117"/>
      <c r="O25" s="116"/>
      <c r="P25" s="117"/>
      <c r="Q25" s="116"/>
      <c r="R25" s="117"/>
      <c r="S25" s="116"/>
      <c r="T25" s="117"/>
      <c r="U25" s="116"/>
      <c r="V25" s="117"/>
      <c r="W25" s="116"/>
      <c r="X25" s="117"/>
      <c r="Y25" s="116"/>
      <c r="Z25" s="117"/>
      <c r="AA25" s="116"/>
      <c r="AB25" s="128"/>
    </row>
    <row r="26" spans="1:28" ht="204" customHeight="1">
      <c r="A26" s="191" t="s">
        <v>74</v>
      </c>
      <c r="B26" s="152">
        <v>381</v>
      </c>
      <c r="C26" s="153" t="s">
        <v>47</v>
      </c>
      <c r="D26" s="154">
        <v>54</v>
      </c>
      <c r="E26" s="191" t="s">
        <v>103</v>
      </c>
      <c r="F26" s="152">
        <v>316</v>
      </c>
      <c r="G26" s="153" t="s">
        <v>31</v>
      </c>
      <c r="H26" s="154">
        <v>39</v>
      </c>
      <c r="I26" s="190" t="s">
        <v>41</v>
      </c>
      <c r="J26" s="152">
        <v>372</v>
      </c>
      <c r="K26" s="153" t="s">
        <v>145</v>
      </c>
      <c r="L26" s="154">
        <v>33</v>
      </c>
      <c r="M26" s="116"/>
      <c r="N26" s="117"/>
      <c r="O26" s="116"/>
      <c r="P26" s="117"/>
      <c r="Q26" s="116"/>
      <c r="R26" s="117"/>
      <c r="S26" s="116"/>
      <c r="T26" s="117"/>
      <c r="U26" s="116"/>
      <c r="V26" s="117"/>
      <c r="W26" s="116"/>
      <c r="X26" s="117"/>
      <c r="Y26" s="116"/>
      <c r="Z26" s="117"/>
      <c r="AA26" s="116"/>
      <c r="AB26" s="128"/>
    </row>
    <row r="27" spans="1:28" ht="167.25" customHeight="1">
      <c r="A27" s="151" t="s">
        <v>95</v>
      </c>
      <c r="B27" s="152">
        <v>286</v>
      </c>
      <c r="C27" s="153" t="s">
        <v>26</v>
      </c>
      <c r="D27" s="154">
        <v>21</v>
      </c>
      <c r="E27" s="151" t="s">
        <v>92</v>
      </c>
      <c r="F27" s="152">
        <v>257</v>
      </c>
      <c r="G27" s="153" t="s">
        <v>34</v>
      </c>
      <c r="H27" s="154">
        <v>7</v>
      </c>
      <c r="I27" s="151" t="s">
        <v>62</v>
      </c>
      <c r="J27" s="152">
        <v>470</v>
      </c>
      <c r="K27" s="153" t="s">
        <v>59</v>
      </c>
      <c r="L27" s="154">
        <v>68</v>
      </c>
      <c r="M27" s="116"/>
      <c r="N27" s="117"/>
      <c r="O27" s="116"/>
      <c r="P27" s="117"/>
      <c r="Q27" s="116"/>
      <c r="R27" s="117"/>
      <c r="S27" s="116"/>
      <c r="T27" s="117"/>
      <c r="U27" s="116"/>
      <c r="V27" s="117"/>
      <c r="W27" s="116"/>
      <c r="X27" s="117"/>
      <c r="Y27" s="116"/>
      <c r="Z27" s="117"/>
      <c r="AA27" s="116"/>
      <c r="AB27" s="128"/>
    </row>
    <row r="28" spans="1:28" ht="162.75" customHeight="1">
      <c r="A28" s="151" t="s">
        <v>79</v>
      </c>
      <c r="B28" s="152">
        <v>99</v>
      </c>
      <c r="C28" s="153" t="s">
        <v>25</v>
      </c>
      <c r="D28" s="154">
        <v>8</v>
      </c>
      <c r="E28" s="151" t="s">
        <v>69</v>
      </c>
      <c r="F28" s="152">
        <v>98</v>
      </c>
      <c r="G28" s="153" t="s">
        <v>104</v>
      </c>
      <c r="H28" s="154">
        <v>25</v>
      </c>
      <c r="I28" s="161" t="s">
        <v>27</v>
      </c>
      <c r="J28" s="156">
        <v>110</v>
      </c>
      <c r="K28" s="153" t="s">
        <v>33</v>
      </c>
      <c r="L28" s="154">
        <v>19</v>
      </c>
      <c r="M28" s="118"/>
      <c r="N28" s="119"/>
      <c r="O28" s="116"/>
      <c r="P28" s="117"/>
      <c r="Q28" s="118"/>
      <c r="R28" s="119"/>
      <c r="S28" s="116"/>
      <c r="T28" s="117"/>
      <c r="U28" s="118"/>
      <c r="V28" s="119"/>
      <c r="W28" s="116"/>
      <c r="X28" s="117"/>
      <c r="Y28" s="118"/>
      <c r="Z28" s="119"/>
      <c r="AA28" s="116"/>
      <c r="AB28" s="128"/>
    </row>
    <row r="29" spans="1:28" ht="167.25" customHeight="1" thickBot="1">
      <c r="A29" s="151"/>
      <c r="B29" s="152"/>
      <c r="C29" s="153" t="s">
        <v>38</v>
      </c>
      <c r="D29" s="154">
        <v>36</v>
      </c>
      <c r="E29" s="151"/>
      <c r="F29" s="152"/>
      <c r="G29" s="153" t="s">
        <v>49</v>
      </c>
      <c r="H29" s="154">
        <v>48</v>
      </c>
      <c r="I29" s="151"/>
      <c r="J29" s="152"/>
      <c r="K29" s="153" t="s">
        <v>81</v>
      </c>
      <c r="L29" s="154">
        <v>68</v>
      </c>
      <c r="M29" s="116"/>
      <c r="N29" s="117"/>
      <c r="O29" s="116"/>
      <c r="P29" s="117"/>
      <c r="Q29" s="116"/>
      <c r="R29" s="117"/>
      <c r="S29" s="116"/>
      <c r="T29" s="117"/>
      <c r="U29" s="116"/>
      <c r="V29" s="117"/>
      <c r="W29" s="116"/>
      <c r="X29" s="117"/>
      <c r="Y29" s="116"/>
      <c r="Z29" s="117"/>
      <c r="AA29" s="116"/>
      <c r="AB29" s="128"/>
    </row>
    <row r="30" spans="1:28" ht="108" customHeight="1" thickBot="1">
      <c r="A30" s="59" t="s">
        <v>3</v>
      </c>
      <c r="B30" s="60">
        <f>SUM(B25:B28)</f>
        <v>891</v>
      </c>
      <c r="C30" s="59" t="s">
        <v>3</v>
      </c>
      <c r="D30" s="61">
        <f>SUM(D25:D29)</f>
        <v>158</v>
      </c>
      <c r="E30" s="59" t="s">
        <v>3</v>
      </c>
      <c r="F30" s="60">
        <f>SUM(F25:F28)</f>
        <v>808</v>
      </c>
      <c r="G30" s="59" t="s">
        <v>3</v>
      </c>
      <c r="H30" s="61">
        <f>SUM(H25:H29)</f>
        <v>162</v>
      </c>
      <c r="I30" s="59" t="s">
        <v>3</v>
      </c>
      <c r="J30" s="60">
        <f>SUM(J25:J28)</f>
        <v>1089</v>
      </c>
      <c r="K30" s="59" t="s">
        <v>3</v>
      </c>
      <c r="L30" s="61">
        <f>SUM(L25:L29)</f>
        <v>264</v>
      </c>
      <c r="M30" s="118"/>
      <c r="N30" s="119"/>
      <c r="O30" s="118"/>
      <c r="P30" s="119"/>
      <c r="Q30" s="118"/>
      <c r="R30" s="119"/>
      <c r="S30" s="118"/>
      <c r="T30" s="119"/>
      <c r="U30" s="118"/>
      <c r="V30" s="119"/>
      <c r="W30" s="118"/>
      <c r="X30" s="119"/>
      <c r="Y30" s="118"/>
      <c r="Z30" s="119"/>
      <c r="AA30" s="118"/>
      <c r="AB30" s="129"/>
    </row>
    <row r="31" spans="1:28" ht="108" customHeight="1">
      <c r="A31" s="144"/>
      <c r="B31" s="119"/>
      <c r="C31" s="118"/>
      <c r="D31" s="119"/>
      <c r="E31" s="118"/>
      <c r="F31" s="119"/>
      <c r="G31" s="118"/>
      <c r="H31" s="119"/>
      <c r="I31" s="118"/>
      <c r="J31" s="119"/>
      <c r="K31" s="118"/>
      <c r="L31" s="119"/>
      <c r="M31" s="118"/>
      <c r="N31" s="119"/>
      <c r="O31" s="118"/>
      <c r="P31" s="119"/>
      <c r="Q31" s="118"/>
      <c r="R31" s="119"/>
      <c r="S31" s="118"/>
      <c r="T31" s="119"/>
      <c r="U31" s="118"/>
      <c r="V31" s="119"/>
      <c r="W31" s="118"/>
      <c r="X31" s="119"/>
      <c r="Y31" s="118"/>
      <c r="Z31" s="119"/>
      <c r="AA31" s="118"/>
      <c r="AB31" s="129"/>
    </row>
    <row r="32" spans="1:28" ht="51.75" customHeight="1">
      <c r="A32" s="78"/>
      <c r="B32" s="69"/>
      <c r="C32" s="70"/>
      <c r="D32" s="69"/>
      <c r="E32" s="70"/>
      <c r="F32" s="69"/>
      <c r="G32" s="70"/>
      <c r="H32" s="69"/>
      <c r="I32" s="70"/>
      <c r="J32" s="69"/>
      <c r="K32" s="70"/>
      <c r="L32" s="69"/>
      <c r="M32" s="70"/>
      <c r="N32" s="69"/>
      <c r="O32" s="70"/>
      <c r="P32" s="69"/>
      <c r="Q32" s="70"/>
      <c r="R32" s="69"/>
      <c r="S32" s="70"/>
      <c r="T32" s="69"/>
      <c r="U32" s="70"/>
      <c r="V32" s="69"/>
      <c r="W32" s="70"/>
      <c r="X32" s="69"/>
      <c r="Y32" s="70"/>
      <c r="Z32" s="69"/>
      <c r="AA32" s="70"/>
      <c r="AB32" s="77"/>
    </row>
    <row r="33" spans="1:28" ht="36" customHeight="1" thickBot="1">
      <c r="A33" s="55"/>
      <c r="B33" s="50"/>
      <c r="C33" s="48"/>
      <c r="D33" s="50"/>
      <c r="E33" s="48"/>
      <c r="F33" s="50"/>
      <c r="G33" s="48"/>
      <c r="H33" s="50"/>
      <c r="I33" s="48"/>
      <c r="J33" s="50"/>
      <c r="K33" s="48"/>
      <c r="L33" s="50"/>
      <c r="M33" s="48"/>
      <c r="N33" s="50"/>
      <c r="O33" s="48"/>
      <c r="P33" s="50"/>
      <c r="Q33" s="48"/>
      <c r="R33" s="49"/>
      <c r="S33" s="48"/>
      <c r="T33" s="50"/>
      <c r="U33" s="48"/>
      <c r="V33" s="50"/>
      <c r="W33" s="48"/>
      <c r="X33" s="50"/>
      <c r="Y33" s="48"/>
      <c r="Z33" s="49"/>
      <c r="AA33" s="48"/>
      <c r="AB33" s="51"/>
    </row>
    <row r="34" spans="1:28" ht="153" customHeight="1" thickBot="1">
      <c r="A34" s="250" t="s">
        <v>22</v>
      </c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2"/>
    </row>
    <row r="35" spans="1:28" ht="105.75" customHeight="1">
      <c r="A35" s="130" t="s">
        <v>4</v>
      </c>
      <c r="B35" s="131"/>
      <c r="C35" s="132"/>
      <c r="D35" s="133"/>
      <c r="E35" s="132"/>
      <c r="F35" s="133"/>
      <c r="G35" s="132"/>
      <c r="H35" s="133"/>
      <c r="I35" s="134"/>
      <c r="J35" s="135"/>
      <c r="K35" s="136" t="s">
        <v>5</v>
      </c>
      <c r="L35" s="135"/>
      <c r="M35" s="137"/>
      <c r="N35" s="135"/>
      <c r="O35" s="137"/>
      <c r="P35" s="131"/>
      <c r="Q35" s="132"/>
      <c r="R35" s="133"/>
      <c r="S35" s="132"/>
      <c r="T35" s="133"/>
      <c r="U35" s="136" t="s">
        <v>6</v>
      </c>
      <c r="V35" s="131"/>
      <c r="W35" s="132"/>
      <c r="X35" s="133"/>
      <c r="Y35" s="132"/>
      <c r="Z35" s="133"/>
      <c r="AA35" s="132"/>
      <c r="AB35" s="138"/>
    </row>
    <row r="36" spans="1:28" ht="104.25" customHeight="1">
      <c r="A36" s="167" t="s">
        <v>7</v>
      </c>
      <c r="B36" s="168"/>
      <c r="C36" s="169"/>
      <c r="D36" s="170"/>
      <c r="E36" s="169"/>
      <c r="F36" s="170"/>
      <c r="G36" s="169"/>
      <c r="H36" s="170"/>
      <c r="I36" s="171"/>
      <c r="J36" s="172"/>
      <c r="K36" s="173" t="s">
        <v>8</v>
      </c>
      <c r="L36" s="172"/>
      <c r="M36" s="174"/>
      <c r="N36" s="172"/>
      <c r="O36" s="174"/>
      <c r="P36" s="168"/>
      <c r="Q36" s="169"/>
      <c r="R36" s="170"/>
      <c r="S36" s="169"/>
      <c r="T36" s="170"/>
      <c r="U36" s="173" t="s">
        <v>9</v>
      </c>
      <c r="V36" s="168"/>
      <c r="W36" s="169"/>
      <c r="X36" s="170"/>
      <c r="Y36" s="169"/>
      <c r="Z36" s="170"/>
      <c r="AA36" s="169"/>
      <c r="AB36" s="175"/>
    </row>
    <row r="37" spans="1:28" ht="107.25" customHeight="1">
      <c r="A37" s="167" t="s">
        <v>10</v>
      </c>
      <c r="B37" s="168"/>
      <c r="C37" s="169"/>
      <c r="D37" s="170"/>
      <c r="E37" s="169"/>
      <c r="F37" s="170"/>
      <c r="G37" s="169"/>
      <c r="H37" s="170"/>
      <c r="I37" s="171"/>
      <c r="J37" s="172"/>
      <c r="K37" s="173" t="s">
        <v>11</v>
      </c>
      <c r="L37" s="172"/>
      <c r="M37" s="174"/>
      <c r="N37" s="172"/>
      <c r="O37" s="174"/>
      <c r="P37" s="168"/>
      <c r="Q37" s="169"/>
      <c r="R37" s="170"/>
      <c r="S37" s="169"/>
      <c r="T37" s="170"/>
      <c r="U37" s="173" t="s">
        <v>12</v>
      </c>
      <c r="V37" s="168"/>
      <c r="W37" s="169"/>
      <c r="X37" s="170"/>
      <c r="Y37" s="169"/>
      <c r="Z37" s="170"/>
      <c r="AA37" s="169"/>
      <c r="AB37" s="175"/>
    </row>
    <row r="38" spans="1:28" ht="105" customHeight="1">
      <c r="A38" s="167" t="s">
        <v>13</v>
      </c>
      <c r="B38" s="168"/>
      <c r="C38" s="169"/>
      <c r="D38" s="170"/>
      <c r="E38" s="169"/>
      <c r="F38" s="170"/>
      <c r="G38" s="169"/>
      <c r="H38" s="170"/>
      <c r="I38" s="171"/>
      <c r="J38" s="172"/>
      <c r="K38" s="173" t="s">
        <v>14</v>
      </c>
      <c r="L38" s="172"/>
      <c r="M38" s="174"/>
      <c r="N38" s="172"/>
      <c r="O38" s="174"/>
      <c r="P38" s="168"/>
      <c r="Q38" s="169"/>
      <c r="R38" s="170"/>
      <c r="S38" s="169"/>
      <c r="T38" s="170"/>
      <c r="U38" s="173" t="s">
        <v>15</v>
      </c>
      <c r="V38" s="168"/>
      <c r="W38" s="169"/>
      <c r="X38" s="170"/>
      <c r="Y38" s="169"/>
      <c r="Z38" s="170"/>
      <c r="AA38" s="169"/>
      <c r="AB38" s="175"/>
    </row>
    <row r="39" spans="1:28" ht="105" customHeight="1">
      <c r="A39" s="167" t="s">
        <v>16</v>
      </c>
      <c r="B39" s="168"/>
      <c r="C39" s="169"/>
      <c r="D39" s="170"/>
      <c r="E39" s="169"/>
      <c r="F39" s="170"/>
      <c r="G39" s="169"/>
      <c r="H39" s="170"/>
      <c r="I39" s="171"/>
      <c r="J39" s="172"/>
      <c r="K39" s="173" t="s">
        <v>17</v>
      </c>
      <c r="L39" s="172"/>
      <c r="M39" s="174"/>
      <c r="N39" s="172"/>
      <c r="O39" s="174"/>
      <c r="P39" s="168"/>
      <c r="Q39" s="169"/>
      <c r="R39" s="170"/>
      <c r="S39" s="169"/>
      <c r="T39" s="170"/>
      <c r="U39" s="169"/>
      <c r="V39" s="170"/>
      <c r="W39" s="169"/>
      <c r="X39" s="170"/>
      <c r="Y39" s="169"/>
      <c r="Z39" s="170"/>
      <c r="AA39" s="169"/>
      <c r="AB39" s="175"/>
    </row>
    <row r="40" spans="1:28" ht="105" customHeight="1" thickBot="1">
      <c r="A40" s="176"/>
      <c r="B40" s="177"/>
      <c r="C40" s="178"/>
      <c r="D40" s="179"/>
      <c r="E40" s="178"/>
      <c r="F40" s="179"/>
      <c r="G40" s="178"/>
      <c r="H40" s="179"/>
      <c r="I40" s="180"/>
      <c r="J40" s="181"/>
      <c r="K40" s="182"/>
      <c r="L40" s="181"/>
      <c r="M40" s="183"/>
      <c r="N40" s="181"/>
      <c r="O40" s="183"/>
      <c r="P40" s="177"/>
      <c r="Q40" s="178"/>
      <c r="R40" s="179"/>
      <c r="S40" s="178"/>
      <c r="T40" s="179"/>
      <c r="U40" s="178"/>
      <c r="V40" s="179"/>
      <c r="W40" s="178"/>
      <c r="X40" s="179"/>
      <c r="Y40" s="178"/>
      <c r="Z40" s="179"/>
      <c r="AA40" s="178"/>
      <c r="AB40" s="184"/>
    </row>
    <row r="41" spans="1:28" ht="54.75" customHeight="1">
      <c r="A41" s="86"/>
      <c r="B41" s="185"/>
      <c r="C41" s="186"/>
      <c r="D41" s="185"/>
      <c r="E41" s="186"/>
      <c r="F41" s="185"/>
      <c r="G41" s="186"/>
      <c r="H41" s="185"/>
      <c r="I41" s="186"/>
      <c r="J41" s="185"/>
      <c r="K41" s="186"/>
      <c r="L41" s="185"/>
      <c r="M41" s="186"/>
      <c r="N41" s="185"/>
      <c r="O41" s="186"/>
      <c r="P41" s="185"/>
      <c r="Q41" s="186"/>
      <c r="R41" s="185"/>
      <c r="S41" s="186"/>
      <c r="T41" s="185"/>
      <c r="U41" s="187"/>
      <c r="V41" s="188"/>
      <c r="W41" s="186"/>
      <c r="X41" s="188"/>
      <c r="Y41" s="186"/>
      <c r="Z41" s="185"/>
      <c r="AA41" s="186"/>
      <c r="AB41" s="189"/>
    </row>
    <row r="42" spans="1:28" ht="60" customHeight="1">
      <c r="A42" s="261" t="s">
        <v>18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3"/>
    </row>
    <row r="43" spans="1:28" ht="48" customHeight="1" thickBot="1">
      <c r="A43" s="79"/>
      <c r="B43" s="80"/>
      <c r="C43" s="81"/>
      <c r="D43" s="80"/>
      <c r="E43" s="81"/>
      <c r="F43" s="80"/>
      <c r="G43" s="81"/>
      <c r="H43" s="80"/>
      <c r="I43" s="81"/>
      <c r="J43" s="80"/>
      <c r="K43" s="81"/>
      <c r="L43" s="80"/>
      <c r="M43" s="81"/>
      <c r="N43" s="80"/>
      <c r="O43" s="81"/>
      <c r="P43" s="80"/>
      <c r="Q43" s="81"/>
      <c r="R43" s="80"/>
      <c r="S43" s="81"/>
      <c r="T43" s="80"/>
      <c r="U43" s="82"/>
      <c r="V43" s="83"/>
      <c r="W43" s="81"/>
      <c r="X43" s="83"/>
      <c r="Y43" s="81"/>
      <c r="Z43" s="80"/>
      <c r="AA43" s="81"/>
      <c r="AB43" s="84"/>
    </row>
    <row r="44" spans="1:28" ht="54.75" customHeight="1">
      <c r="A44" s="47"/>
      <c r="B44" s="46"/>
      <c r="C44" s="47"/>
      <c r="D44" s="46"/>
      <c r="E44" s="35"/>
      <c r="F44" s="34"/>
      <c r="G44" s="35"/>
      <c r="H44" s="34"/>
      <c r="I44" s="40"/>
      <c r="J44" s="41"/>
      <c r="K44" s="40"/>
      <c r="L44" s="41"/>
      <c r="M44" s="35"/>
      <c r="N44" s="34"/>
      <c r="O44" s="35"/>
      <c r="P44" s="34"/>
      <c r="Q44" s="35"/>
      <c r="R44" s="34"/>
      <c r="S44" s="35"/>
      <c r="T44" s="34"/>
      <c r="U44" s="35"/>
      <c r="V44" s="34"/>
      <c r="W44" s="35"/>
      <c r="X44" s="34"/>
      <c r="Y44" s="35"/>
      <c r="Z44" s="34"/>
      <c r="AA44" s="35"/>
      <c r="AB44" s="34"/>
    </row>
    <row r="45" spans="1:28" ht="48" customHeight="1">
      <c r="A45" s="35"/>
      <c r="B45" s="34"/>
      <c r="C45" s="35"/>
      <c r="D45" s="34"/>
      <c r="E45" s="35"/>
      <c r="F45" s="34"/>
      <c r="G45" s="35"/>
      <c r="H45" s="34"/>
      <c r="I45" s="35"/>
      <c r="J45" s="34"/>
      <c r="K45" s="35"/>
      <c r="L45" s="34"/>
      <c r="M45" s="35"/>
      <c r="N45" s="34"/>
      <c r="O45" s="35"/>
      <c r="P45" s="34"/>
      <c r="Q45" s="35"/>
      <c r="R45" s="34"/>
      <c r="S45" s="35"/>
      <c r="T45" s="34"/>
      <c r="U45" s="35"/>
      <c r="V45" s="34"/>
      <c r="W45" s="35"/>
      <c r="X45" s="34"/>
      <c r="Y45" s="35"/>
      <c r="Z45" s="34"/>
      <c r="AA45" s="35"/>
      <c r="AB45" s="34"/>
    </row>
    <row r="46" spans="1:28" ht="48" customHeight="1">
      <c r="A46" s="35"/>
      <c r="B46" s="34"/>
      <c r="C46" s="35"/>
      <c r="D46" s="34"/>
      <c r="E46" s="35"/>
      <c r="F46" s="34"/>
      <c r="G46" s="35"/>
      <c r="H46" s="34"/>
      <c r="I46" s="35"/>
      <c r="J46" s="34"/>
      <c r="K46" s="35"/>
      <c r="L46" s="34"/>
      <c r="M46" s="35"/>
      <c r="N46" s="34"/>
      <c r="O46" s="35"/>
      <c r="P46" s="34"/>
      <c r="Q46" s="35"/>
      <c r="R46" s="34"/>
      <c r="S46" s="35"/>
      <c r="T46" s="34"/>
      <c r="U46" s="35"/>
      <c r="V46" s="34"/>
      <c r="W46" s="35"/>
      <c r="X46" s="34"/>
      <c r="Y46" s="35"/>
      <c r="Z46" s="34"/>
      <c r="AA46" s="35"/>
      <c r="AB46" s="34"/>
    </row>
    <row r="47" spans="1:28" ht="75" customHeight="1">
      <c r="A47" s="35"/>
      <c r="B47" s="34"/>
      <c r="C47" s="35"/>
      <c r="D47" s="34"/>
      <c r="E47" s="35"/>
      <c r="F47" s="34"/>
      <c r="G47" s="35"/>
      <c r="H47" s="34"/>
      <c r="I47" s="35"/>
      <c r="J47" s="34"/>
      <c r="K47" s="35"/>
      <c r="L47" s="34"/>
      <c r="M47" s="35"/>
      <c r="N47" s="34"/>
      <c r="O47" s="35"/>
      <c r="P47" s="34"/>
      <c r="Q47" s="35"/>
      <c r="R47" s="34"/>
      <c r="S47" s="35"/>
      <c r="T47" s="34"/>
      <c r="U47" s="35"/>
      <c r="V47" s="34"/>
      <c r="W47" s="35"/>
      <c r="X47" s="34"/>
      <c r="Y47" s="35"/>
      <c r="Z47" s="34"/>
      <c r="AA47" s="35"/>
      <c r="AB47" s="34"/>
    </row>
    <row r="48" spans="1:28" ht="82.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  <c r="AA48" s="249"/>
      <c r="AB48" s="249"/>
    </row>
    <row r="49" spans="1:28" ht="48" customHeight="1">
      <c r="A49" s="56"/>
      <c r="B49" s="57"/>
      <c r="C49" s="56"/>
      <c r="D49" s="57"/>
      <c r="E49" s="56"/>
      <c r="F49" s="57"/>
      <c r="G49" s="56"/>
      <c r="H49" s="57"/>
      <c r="I49" s="56"/>
      <c r="J49" s="57"/>
      <c r="K49" s="56"/>
      <c r="L49" s="57"/>
      <c r="M49" s="56"/>
      <c r="N49" s="57"/>
      <c r="O49" s="56"/>
      <c r="P49" s="57"/>
      <c r="Q49" s="56"/>
      <c r="R49" s="57"/>
      <c r="S49" s="56"/>
      <c r="T49" s="57"/>
      <c r="U49" s="56"/>
      <c r="V49" s="57"/>
      <c r="W49" s="56"/>
      <c r="X49" s="57"/>
      <c r="Y49" s="56"/>
      <c r="Z49" s="57"/>
      <c r="AA49" s="56"/>
      <c r="AB49" s="57"/>
    </row>
    <row r="50" spans="1:28" ht="48" customHeight="1">
      <c r="A50" s="18"/>
      <c r="B50" s="19"/>
      <c r="C50" s="18"/>
      <c r="D50" s="19"/>
      <c r="E50" s="18"/>
      <c r="F50" s="19"/>
      <c r="G50" s="18"/>
      <c r="H50" s="19"/>
      <c r="I50" s="18"/>
      <c r="J50" s="19"/>
      <c r="K50" s="18"/>
      <c r="L50" s="19"/>
      <c r="M50" s="18"/>
      <c r="N50" s="19"/>
      <c r="O50" s="18"/>
      <c r="P50" s="19"/>
      <c r="Q50" s="18"/>
      <c r="R50" s="19"/>
      <c r="S50" s="18"/>
      <c r="T50" s="19"/>
      <c r="U50" s="18"/>
      <c r="V50" s="19"/>
      <c r="W50" s="18"/>
      <c r="X50" s="19"/>
      <c r="Y50" s="18"/>
      <c r="Z50" s="19"/>
      <c r="AA50" s="18"/>
      <c r="AB50" s="19"/>
    </row>
    <row r="51" spans="1:28" ht="48" customHeight="1">
      <c r="A51" s="18"/>
      <c r="B51" s="19"/>
      <c r="C51" s="18"/>
      <c r="D51" s="19"/>
      <c r="E51" s="18"/>
      <c r="F51" s="19"/>
      <c r="G51" s="18"/>
      <c r="H51" s="19"/>
      <c r="I51" s="18"/>
      <c r="J51" s="19"/>
      <c r="K51" s="18"/>
      <c r="L51" s="19"/>
      <c r="M51" s="18"/>
      <c r="N51" s="19"/>
      <c r="O51" s="18"/>
      <c r="P51" s="19"/>
      <c r="Q51" s="18"/>
      <c r="R51" s="19"/>
      <c r="S51" s="18"/>
      <c r="T51" s="19"/>
      <c r="U51" s="18"/>
      <c r="V51" s="19"/>
      <c r="W51" s="18"/>
      <c r="X51" s="19"/>
      <c r="Y51" s="18"/>
      <c r="Z51" s="19"/>
      <c r="AA51" s="18"/>
      <c r="AB51" s="19"/>
    </row>
    <row r="52" spans="1:28" ht="48" customHeight="1">
      <c r="A52" s="18"/>
      <c r="B52" s="19"/>
      <c r="C52" s="18"/>
      <c r="D52" s="19"/>
      <c r="E52" s="18"/>
      <c r="F52" s="19"/>
      <c r="G52" s="18"/>
      <c r="H52" s="19"/>
      <c r="I52" s="18"/>
      <c r="J52" s="19"/>
      <c r="K52" s="18"/>
      <c r="L52" s="19"/>
      <c r="M52" s="18"/>
      <c r="N52" s="19"/>
      <c r="O52" s="18"/>
      <c r="P52" s="19"/>
      <c r="Q52" s="18"/>
      <c r="R52" s="19"/>
      <c r="S52" s="18"/>
      <c r="T52" s="19"/>
      <c r="U52" s="18"/>
      <c r="V52" s="19"/>
      <c r="W52" s="18"/>
      <c r="X52" s="19"/>
      <c r="Y52" s="18"/>
      <c r="Z52" s="19"/>
      <c r="AA52" s="18"/>
      <c r="AB52" s="19"/>
    </row>
    <row r="53" spans="1:28" ht="48" customHeight="1">
      <c r="A53" s="18"/>
      <c r="B53" s="19"/>
      <c r="C53" s="18"/>
      <c r="D53" s="19"/>
      <c r="E53" s="18"/>
      <c r="F53" s="19"/>
      <c r="G53" s="18"/>
      <c r="H53" s="19"/>
      <c r="I53" s="18"/>
      <c r="J53" s="19"/>
      <c r="K53" s="18"/>
      <c r="L53" s="19"/>
      <c r="M53" s="18"/>
      <c r="N53" s="19"/>
      <c r="O53" s="18"/>
      <c r="P53" s="19"/>
      <c r="Q53" s="18"/>
      <c r="R53" s="19"/>
      <c r="S53" s="18"/>
      <c r="T53" s="19"/>
      <c r="U53" s="18"/>
      <c r="V53" s="19"/>
      <c r="W53" s="18"/>
      <c r="X53" s="19"/>
      <c r="Y53" s="18"/>
      <c r="Z53" s="19"/>
      <c r="AA53" s="18"/>
      <c r="AB53" s="19"/>
    </row>
    <row r="54" spans="1:28" ht="48" customHeight="1">
      <c r="A54" s="18"/>
      <c r="B54" s="19"/>
      <c r="C54" s="18"/>
      <c r="D54" s="19"/>
      <c r="E54" s="18"/>
      <c r="F54" s="19"/>
      <c r="G54" s="18"/>
      <c r="H54" s="19"/>
      <c r="I54" s="18"/>
      <c r="J54" s="19"/>
      <c r="K54" s="18"/>
      <c r="L54" s="19"/>
      <c r="M54" s="18"/>
      <c r="N54" s="19"/>
      <c r="O54" s="18"/>
      <c r="P54" s="19"/>
      <c r="Q54" s="18"/>
      <c r="R54" s="19"/>
      <c r="S54" s="18"/>
      <c r="T54" s="19"/>
      <c r="U54" s="18"/>
      <c r="V54" s="19"/>
      <c r="W54" s="18"/>
      <c r="X54" s="19"/>
      <c r="Y54" s="18"/>
      <c r="Z54" s="19"/>
      <c r="AA54" s="18"/>
      <c r="AB54" s="19"/>
    </row>
    <row r="55" spans="1:28" ht="48" customHeight="1">
      <c r="A55" s="18"/>
      <c r="B55" s="19"/>
      <c r="C55" s="18"/>
      <c r="D55" s="19"/>
      <c r="E55" s="18"/>
      <c r="F55" s="19"/>
      <c r="G55" s="18"/>
      <c r="H55" s="19"/>
      <c r="I55" s="18"/>
      <c r="J55" s="19"/>
      <c r="K55" s="18"/>
      <c r="L55" s="19"/>
      <c r="M55" s="18"/>
      <c r="N55" s="19"/>
      <c r="O55" s="18"/>
      <c r="P55" s="19"/>
      <c r="Q55" s="18"/>
      <c r="R55" s="19"/>
      <c r="S55" s="18"/>
      <c r="T55" s="19"/>
      <c r="U55" s="18"/>
      <c r="V55" s="19"/>
      <c r="W55" s="18"/>
      <c r="X55" s="19"/>
      <c r="Y55" s="18"/>
      <c r="Z55" s="19"/>
      <c r="AA55" s="18"/>
      <c r="AB55" s="19"/>
    </row>
    <row r="56" spans="1:28" ht="48" customHeight="1">
      <c r="A56" s="18"/>
      <c r="B56" s="19"/>
      <c r="C56" s="18"/>
      <c r="D56" s="19"/>
      <c r="E56" s="18"/>
      <c r="F56" s="19"/>
      <c r="G56" s="18"/>
      <c r="H56" s="19"/>
      <c r="I56" s="18"/>
      <c r="J56" s="19"/>
      <c r="K56" s="18"/>
      <c r="L56" s="19"/>
      <c r="M56" s="18"/>
      <c r="N56" s="19"/>
      <c r="O56" s="18"/>
      <c r="P56" s="19"/>
      <c r="Q56" s="18"/>
      <c r="R56" s="19"/>
      <c r="S56" s="18"/>
      <c r="T56" s="19"/>
      <c r="U56" s="18"/>
      <c r="V56" s="19"/>
      <c r="W56" s="18"/>
      <c r="X56" s="19"/>
      <c r="Y56" s="18"/>
      <c r="Z56" s="19"/>
      <c r="AA56" s="18"/>
      <c r="AB56" s="19"/>
    </row>
    <row r="57" spans="1:28" ht="48" customHeight="1">
      <c r="A57" s="18"/>
      <c r="B57" s="19"/>
      <c r="C57" s="18"/>
      <c r="D57" s="19"/>
      <c r="E57" s="18"/>
      <c r="F57" s="19"/>
      <c r="G57" s="18"/>
      <c r="H57" s="19"/>
      <c r="I57" s="18"/>
      <c r="J57" s="19"/>
      <c r="K57" s="18"/>
      <c r="L57" s="19"/>
      <c r="M57" s="18"/>
      <c r="N57" s="19"/>
      <c r="O57" s="18"/>
      <c r="P57" s="19"/>
      <c r="Q57" s="18"/>
      <c r="R57" s="19"/>
      <c r="S57" s="18"/>
      <c r="T57" s="19"/>
      <c r="U57" s="18"/>
      <c r="V57" s="19"/>
      <c r="W57" s="18"/>
      <c r="X57" s="19"/>
      <c r="Y57" s="18"/>
      <c r="Z57" s="19"/>
      <c r="AA57" s="18"/>
      <c r="AB57" s="19"/>
    </row>
    <row r="58" spans="1:28" ht="48" customHeight="1">
      <c r="A58" s="18"/>
      <c r="B58" s="19"/>
      <c r="C58" s="18"/>
      <c r="D58" s="19"/>
      <c r="E58" s="18"/>
      <c r="F58" s="19"/>
      <c r="G58" s="18"/>
      <c r="H58" s="19"/>
      <c r="I58" s="18"/>
      <c r="J58" s="19"/>
      <c r="K58" s="18"/>
      <c r="L58" s="19"/>
      <c r="M58" s="18"/>
      <c r="N58" s="19"/>
      <c r="O58" s="18"/>
      <c r="P58" s="19"/>
      <c r="Q58" s="18"/>
      <c r="R58" s="19"/>
      <c r="S58" s="18"/>
      <c r="T58" s="19"/>
      <c r="U58" s="18"/>
      <c r="V58" s="19"/>
      <c r="W58" s="18"/>
      <c r="X58" s="19"/>
      <c r="Y58" s="18"/>
      <c r="Z58" s="19"/>
      <c r="AA58" s="18"/>
      <c r="AB58" s="19"/>
    </row>
    <row r="59" spans="1:28" ht="48" customHeight="1">
      <c r="A59" s="18"/>
      <c r="B59" s="19"/>
      <c r="C59" s="18"/>
      <c r="D59" s="19"/>
      <c r="E59" s="18"/>
      <c r="F59" s="19"/>
      <c r="G59" s="18"/>
      <c r="H59" s="19"/>
      <c r="I59" s="18"/>
      <c r="J59" s="19"/>
      <c r="K59" s="18"/>
      <c r="L59" s="19"/>
      <c r="M59" s="18"/>
      <c r="N59" s="19"/>
      <c r="O59" s="18"/>
      <c r="P59" s="19"/>
      <c r="Q59" s="18"/>
      <c r="R59" s="19"/>
      <c r="S59" s="18"/>
      <c r="T59" s="19"/>
      <c r="U59" s="18"/>
      <c r="V59" s="19"/>
      <c r="W59" s="18"/>
      <c r="X59" s="19"/>
      <c r="Y59" s="18"/>
      <c r="Z59" s="19"/>
      <c r="AA59" s="18"/>
      <c r="AB59" s="19"/>
    </row>
    <row r="60" spans="1:28" ht="48" customHeight="1">
      <c r="A60" s="18"/>
      <c r="B60" s="19"/>
      <c r="C60" s="18"/>
      <c r="D60" s="19"/>
      <c r="E60" s="18"/>
      <c r="F60" s="19"/>
      <c r="G60" s="18"/>
      <c r="H60" s="19"/>
      <c r="I60" s="18"/>
      <c r="J60" s="19"/>
      <c r="K60" s="18"/>
      <c r="L60" s="19"/>
      <c r="M60" s="18"/>
      <c r="N60" s="19"/>
      <c r="O60" s="18"/>
      <c r="P60" s="19"/>
      <c r="Q60" s="18"/>
      <c r="R60" s="19"/>
      <c r="S60" s="18"/>
      <c r="T60" s="19"/>
      <c r="U60" s="18"/>
      <c r="V60" s="19"/>
      <c r="W60" s="18"/>
      <c r="X60" s="19"/>
      <c r="Y60" s="18"/>
      <c r="Z60" s="19"/>
      <c r="AA60" s="18"/>
      <c r="AB60" s="19"/>
    </row>
    <row r="61" spans="1:28" ht="48" customHeight="1">
      <c r="A61" s="18"/>
      <c r="B61" s="19"/>
      <c r="C61" s="18"/>
      <c r="D61" s="19"/>
      <c r="E61" s="18"/>
      <c r="F61" s="19"/>
      <c r="G61" s="18"/>
      <c r="H61" s="19"/>
      <c r="I61" s="18"/>
      <c r="J61" s="19"/>
      <c r="K61" s="18"/>
      <c r="L61" s="19"/>
      <c r="M61" s="18"/>
      <c r="N61" s="19"/>
      <c r="O61" s="18"/>
      <c r="P61" s="19"/>
      <c r="Q61" s="18"/>
      <c r="R61" s="19"/>
      <c r="S61" s="18"/>
      <c r="T61" s="19"/>
      <c r="U61" s="18"/>
      <c r="V61" s="19"/>
      <c r="W61" s="18"/>
      <c r="X61" s="19"/>
      <c r="Y61" s="18"/>
      <c r="Z61" s="19"/>
      <c r="AA61" s="18"/>
      <c r="AB61" s="19"/>
    </row>
    <row r="62" spans="1:28" ht="48" customHeight="1">
      <c r="A62" s="18"/>
      <c r="B62" s="19"/>
      <c r="C62" s="18"/>
      <c r="D62" s="19"/>
      <c r="E62" s="18"/>
      <c r="F62" s="19"/>
      <c r="G62" s="18"/>
      <c r="H62" s="19"/>
      <c r="I62" s="18"/>
      <c r="J62" s="19"/>
      <c r="K62" s="18"/>
      <c r="L62" s="19"/>
      <c r="M62" s="18"/>
      <c r="N62" s="19"/>
      <c r="O62" s="18"/>
      <c r="P62" s="19"/>
      <c r="Q62" s="18"/>
      <c r="R62" s="19"/>
      <c r="S62" s="18"/>
      <c r="T62" s="19"/>
      <c r="U62" s="18"/>
      <c r="V62" s="19"/>
      <c r="W62" s="18"/>
      <c r="X62" s="19"/>
      <c r="Y62" s="18"/>
      <c r="Z62" s="19"/>
      <c r="AA62" s="18"/>
      <c r="AB62" s="19"/>
    </row>
    <row r="63" spans="1:28" ht="48" customHeight="1">
      <c r="A63" s="18"/>
      <c r="B63" s="19"/>
      <c r="C63" s="18"/>
      <c r="D63" s="19"/>
      <c r="E63" s="18"/>
      <c r="F63" s="19"/>
      <c r="G63" s="18"/>
      <c r="H63" s="19"/>
      <c r="I63" s="18"/>
      <c r="J63" s="19"/>
      <c r="K63" s="18"/>
      <c r="L63" s="19"/>
      <c r="M63" s="18"/>
      <c r="N63" s="19"/>
      <c r="O63" s="18"/>
      <c r="P63" s="19"/>
      <c r="Q63" s="18"/>
      <c r="R63" s="19"/>
      <c r="S63" s="18"/>
      <c r="T63" s="19"/>
      <c r="U63" s="18"/>
      <c r="V63" s="19"/>
      <c r="W63" s="18"/>
      <c r="X63" s="19"/>
      <c r="Y63" s="18"/>
      <c r="Z63" s="19"/>
      <c r="AA63" s="18"/>
      <c r="AB63" s="19"/>
    </row>
    <row r="64" spans="1:28" ht="48" customHeight="1">
      <c r="A64" s="18"/>
      <c r="B64" s="19"/>
      <c r="C64" s="18"/>
      <c r="D64" s="19"/>
      <c r="E64" s="18"/>
      <c r="F64" s="19"/>
      <c r="G64" s="18"/>
      <c r="H64" s="19"/>
      <c r="I64" s="18"/>
      <c r="J64" s="19"/>
      <c r="K64" s="18"/>
      <c r="L64" s="19"/>
      <c r="M64" s="18"/>
      <c r="N64" s="19"/>
      <c r="O64" s="18"/>
      <c r="P64" s="19"/>
      <c r="Q64" s="18"/>
      <c r="R64" s="19"/>
      <c r="S64" s="18"/>
      <c r="T64" s="19"/>
      <c r="U64" s="18"/>
      <c r="V64" s="19"/>
      <c r="W64" s="18"/>
      <c r="X64" s="19"/>
      <c r="Y64" s="18"/>
      <c r="Z64" s="19"/>
      <c r="AA64" s="18"/>
      <c r="AB64" s="19"/>
    </row>
    <row r="65" spans="1:28" ht="48" customHeight="1">
      <c r="A65" s="18"/>
      <c r="B65" s="19"/>
      <c r="C65" s="18"/>
      <c r="D65" s="19"/>
      <c r="E65" s="18"/>
      <c r="F65" s="19"/>
      <c r="G65" s="18"/>
      <c r="H65" s="19"/>
      <c r="I65" s="18"/>
      <c r="J65" s="19"/>
      <c r="K65" s="18"/>
      <c r="L65" s="19"/>
      <c r="M65" s="18"/>
      <c r="N65" s="19"/>
      <c r="O65" s="18"/>
      <c r="P65" s="19"/>
      <c r="Q65" s="18"/>
      <c r="R65" s="19"/>
      <c r="S65" s="18"/>
      <c r="T65" s="19"/>
      <c r="U65" s="18"/>
      <c r="V65" s="19"/>
      <c r="W65" s="18"/>
      <c r="X65" s="19"/>
      <c r="Y65" s="18"/>
      <c r="Z65" s="19"/>
      <c r="AA65" s="18"/>
      <c r="AB65" s="19"/>
    </row>
    <row r="66" spans="1:28" ht="48" customHeight="1">
      <c r="A66" s="18"/>
      <c r="B66" s="19"/>
      <c r="C66" s="18"/>
      <c r="D66" s="19"/>
      <c r="E66" s="18"/>
      <c r="F66" s="19"/>
      <c r="G66" s="18"/>
      <c r="H66" s="19"/>
      <c r="I66" s="18"/>
      <c r="J66" s="19"/>
      <c r="K66" s="18"/>
      <c r="L66" s="19"/>
      <c r="M66" s="18"/>
      <c r="N66" s="19"/>
      <c r="O66" s="18"/>
      <c r="P66" s="19"/>
      <c r="Q66" s="18"/>
      <c r="R66" s="19"/>
      <c r="S66" s="18"/>
      <c r="T66" s="19"/>
      <c r="U66" s="18"/>
      <c r="V66" s="19"/>
      <c r="W66" s="18"/>
      <c r="X66" s="19"/>
      <c r="Y66" s="18"/>
      <c r="Z66" s="19"/>
      <c r="AA66" s="18"/>
      <c r="AB66" s="19"/>
    </row>
    <row r="67" spans="1:28" ht="48" customHeight="1">
      <c r="A67" s="18"/>
      <c r="B67" s="19"/>
      <c r="C67" s="18"/>
      <c r="D67" s="19"/>
      <c r="E67" s="18"/>
      <c r="F67" s="19"/>
      <c r="G67" s="18"/>
      <c r="H67" s="19"/>
      <c r="I67" s="18"/>
      <c r="J67" s="19"/>
      <c r="K67" s="18"/>
      <c r="L67" s="19"/>
      <c r="M67" s="18"/>
      <c r="N67" s="19"/>
      <c r="O67" s="18"/>
      <c r="P67" s="19"/>
      <c r="Q67" s="18"/>
      <c r="R67" s="19"/>
      <c r="S67" s="18"/>
      <c r="T67" s="19"/>
      <c r="U67" s="18"/>
      <c r="V67" s="19"/>
      <c r="W67" s="18"/>
      <c r="X67" s="19"/>
      <c r="Y67" s="18"/>
      <c r="Z67" s="19"/>
      <c r="AA67" s="18"/>
      <c r="AB67" s="19"/>
    </row>
    <row r="68" spans="1:28" ht="48" customHeight="1">
      <c r="A68" s="18"/>
      <c r="B68" s="19"/>
      <c r="C68" s="18"/>
      <c r="D68" s="19"/>
      <c r="E68" s="18"/>
      <c r="F68" s="19"/>
      <c r="G68" s="18"/>
      <c r="H68" s="19"/>
      <c r="I68" s="18"/>
      <c r="J68" s="19"/>
      <c r="K68" s="18"/>
      <c r="L68" s="19"/>
      <c r="M68" s="18"/>
      <c r="N68" s="19"/>
      <c r="O68" s="18"/>
      <c r="P68" s="19"/>
      <c r="Q68" s="18"/>
      <c r="R68" s="19"/>
      <c r="S68" s="18"/>
      <c r="T68" s="19"/>
      <c r="U68" s="18"/>
      <c r="V68" s="19"/>
      <c r="W68" s="18"/>
      <c r="X68" s="19"/>
      <c r="Y68" s="18"/>
      <c r="Z68" s="19"/>
      <c r="AA68" s="18"/>
      <c r="AB68" s="19"/>
    </row>
    <row r="69" spans="1:28" ht="48" customHeight="1">
      <c r="A69" s="18"/>
      <c r="B69" s="19"/>
      <c r="C69" s="18"/>
      <c r="D69" s="19"/>
      <c r="E69" s="18"/>
      <c r="F69" s="19"/>
      <c r="G69" s="18"/>
      <c r="H69" s="19"/>
      <c r="I69" s="18"/>
      <c r="J69" s="19"/>
      <c r="K69" s="18"/>
      <c r="L69" s="19"/>
      <c r="M69" s="18"/>
      <c r="N69" s="19"/>
      <c r="O69" s="18"/>
      <c r="P69" s="19"/>
      <c r="Q69" s="18"/>
      <c r="R69" s="19"/>
      <c r="S69" s="18"/>
      <c r="T69" s="19"/>
      <c r="U69" s="18"/>
      <c r="V69" s="19"/>
      <c r="W69" s="18"/>
      <c r="X69" s="19"/>
      <c r="Y69" s="18"/>
      <c r="Z69" s="19"/>
      <c r="AA69" s="18"/>
      <c r="AB69" s="19"/>
    </row>
    <row r="70" spans="1:28" ht="48" customHeight="1">
      <c r="A70" s="18"/>
      <c r="B70" s="19"/>
      <c r="C70" s="18"/>
      <c r="D70" s="19"/>
      <c r="E70" s="18"/>
      <c r="F70" s="19"/>
      <c r="G70" s="18"/>
      <c r="H70" s="19"/>
      <c r="I70" s="18"/>
      <c r="J70" s="19"/>
      <c r="K70" s="18"/>
      <c r="L70" s="19"/>
      <c r="M70" s="18"/>
      <c r="N70" s="19"/>
      <c r="O70" s="18"/>
      <c r="P70" s="19"/>
      <c r="Q70" s="18"/>
      <c r="R70" s="19"/>
      <c r="S70" s="18"/>
      <c r="T70" s="19"/>
      <c r="U70" s="18"/>
      <c r="V70" s="19"/>
      <c r="W70" s="18"/>
      <c r="X70" s="19"/>
      <c r="Y70" s="18"/>
      <c r="Z70" s="19"/>
      <c r="AA70" s="18"/>
      <c r="AB70" s="19"/>
    </row>
    <row r="71" spans="1:28" ht="48" customHeight="1">
      <c r="A71" s="18"/>
      <c r="B71" s="19"/>
      <c r="C71" s="18"/>
      <c r="D71" s="19"/>
      <c r="E71" s="18"/>
      <c r="F71" s="19"/>
      <c r="G71" s="18"/>
      <c r="H71" s="19"/>
      <c r="I71" s="18"/>
      <c r="J71" s="19"/>
      <c r="K71" s="18"/>
      <c r="L71" s="19"/>
      <c r="M71" s="18"/>
      <c r="N71" s="19"/>
      <c r="O71" s="18"/>
      <c r="P71" s="19"/>
      <c r="Q71" s="18"/>
      <c r="R71" s="19"/>
      <c r="S71" s="18"/>
      <c r="T71" s="19"/>
      <c r="U71" s="18"/>
      <c r="V71" s="19"/>
      <c r="W71" s="18"/>
      <c r="X71" s="19"/>
      <c r="Y71" s="18"/>
      <c r="Z71" s="19"/>
      <c r="AA71" s="18"/>
      <c r="AB71" s="19"/>
    </row>
    <row r="72" spans="1:28" ht="48" customHeight="1">
      <c r="A72" s="18"/>
      <c r="B72" s="19"/>
      <c r="C72" s="18"/>
      <c r="D72" s="19"/>
      <c r="E72" s="18"/>
      <c r="F72" s="19"/>
      <c r="G72" s="18"/>
      <c r="H72" s="19"/>
      <c r="I72" s="18"/>
      <c r="J72" s="19"/>
      <c r="K72" s="18"/>
      <c r="L72" s="19"/>
      <c r="M72" s="18"/>
      <c r="N72" s="19"/>
      <c r="O72" s="18"/>
      <c r="P72" s="19"/>
      <c r="Q72" s="18"/>
      <c r="R72" s="19"/>
      <c r="S72" s="18"/>
      <c r="T72" s="19"/>
      <c r="U72" s="18"/>
      <c r="V72" s="19"/>
      <c r="W72" s="18"/>
      <c r="X72" s="19"/>
      <c r="Y72" s="18"/>
      <c r="Z72" s="19"/>
      <c r="AA72" s="18"/>
      <c r="AB72" s="19"/>
    </row>
    <row r="73" spans="1:28" ht="48" customHeight="1">
      <c r="A73" s="18"/>
      <c r="B73" s="19"/>
      <c r="C73" s="18"/>
      <c r="D73" s="19"/>
      <c r="E73" s="18"/>
      <c r="F73" s="19"/>
      <c r="G73" s="18"/>
      <c r="H73" s="19"/>
      <c r="I73" s="18"/>
      <c r="J73" s="19"/>
      <c r="K73" s="18"/>
      <c r="L73" s="19"/>
      <c r="M73" s="18"/>
      <c r="N73" s="19"/>
      <c r="O73" s="18"/>
      <c r="P73" s="19"/>
      <c r="Q73" s="18"/>
      <c r="R73" s="19"/>
      <c r="S73" s="18"/>
      <c r="T73" s="19"/>
      <c r="U73" s="18"/>
      <c r="V73" s="19"/>
      <c r="W73" s="18"/>
      <c r="X73" s="19"/>
      <c r="Y73" s="18"/>
      <c r="Z73" s="19"/>
      <c r="AA73" s="18"/>
      <c r="AB73" s="19"/>
    </row>
    <row r="74" spans="1:28" ht="48" customHeight="1">
      <c r="A74" s="18"/>
      <c r="B74" s="19"/>
      <c r="C74" s="18"/>
      <c r="D74" s="19"/>
      <c r="E74" s="18"/>
      <c r="F74" s="19"/>
      <c r="G74" s="18"/>
      <c r="H74" s="19"/>
      <c r="I74" s="18"/>
      <c r="J74" s="19"/>
      <c r="K74" s="18"/>
      <c r="L74" s="19"/>
      <c r="M74" s="18"/>
      <c r="N74" s="19"/>
      <c r="O74" s="18"/>
      <c r="P74" s="19"/>
      <c r="Q74" s="18"/>
      <c r="R74" s="19"/>
      <c r="S74" s="18"/>
      <c r="T74" s="19"/>
      <c r="U74" s="18"/>
      <c r="V74" s="19"/>
      <c r="W74" s="18"/>
      <c r="X74" s="19"/>
      <c r="Y74" s="18"/>
      <c r="Z74" s="19"/>
      <c r="AA74" s="18"/>
      <c r="AB74" s="19"/>
    </row>
    <row r="75" spans="1:28" ht="48" customHeight="1">
      <c r="A75" s="18"/>
      <c r="B75" s="19"/>
      <c r="C75" s="18"/>
      <c r="D75" s="19"/>
      <c r="E75" s="18"/>
      <c r="F75" s="19"/>
      <c r="G75" s="18"/>
      <c r="H75" s="19"/>
      <c r="I75" s="18"/>
      <c r="J75" s="19"/>
      <c r="K75" s="18"/>
      <c r="L75" s="19"/>
      <c r="M75" s="18"/>
      <c r="N75" s="19"/>
      <c r="O75" s="18"/>
      <c r="P75" s="19"/>
      <c r="Q75" s="18"/>
      <c r="R75" s="19"/>
      <c r="S75" s="18"/>
      <c r="T75" s="19"/>
      <c r="U75" s="18"/>
      <c r="V75" s="19"/>
      <c r="W75" s="18"/>
      <c r="X75" s="19"/>
      <c r="Y75" s="18"/>
      <c r="Z75" s="19"/>
      <c r="AA75" s="18"/>
      <c r="AB75" s="19"/>
    </row>
    <row r="76" spans="1:28" ht="48" customHeight="1">
      <c r="A76" s="18"/>
      <c r="B76" s="19"/>
      <c r="C76" s="18"/>
      <c r="D76" s="19"/>
      <c r="E76" s="18"/>
      <c r="F76" s="19"/>
      <c r="G76" s="18"/>
      <c r="H76" s="19"/>
      <c r="I76" s="18"/>
      <c r="J76" s="19"/>
      <c r="K76" s="18"/>
      <c r="L76" s="19"/>
      <c r="M76" s="18"/>
      <c r="N76" s="19"/>
      <c r="O76" s="18"/>
      <c r="P76" s="19"/>
      <c r="Q76" s="18"/>
      <c r="R76" s="19"/>
      <c r="S76" s="18"/>
      <c r="T76" s="19"/>
      <c r="U76" s="18"/>
      <c r="V76" s="19"/>
      <c r="W76" s="18"/>
      <c r="X76" s="19"/>
      <c r="Y76" s="18"/>
      <c r="Z76" s="19"/>
      <c r="AA76" s="18"/>
      <c r="AB76" s="19"/>
    </row>
    <row r="77" spans="1:28" ht="48" customHeight="1">
      <c r="A77" s="18"/>
      <c r="B77" s="19"/>
      <c r="C77" s="18"/>
      <c r="D77" s="19"/>
      <c r="E77" s="18"/>
      <c r="F77" s="19"/>
      <c r="G77" s="18"/>
      <c r="H77" s="19"/>
      <c r="I77" s="18"/>
      <c r="J77" s="19"/>
      <c r="K77" s="18"/>
      <c r="L77" s="19"/>
      <c r="M77" s="18"/>
      <c r="N77" s="19"/>
      <c r="O77" s="18"/>
      <c r="P77" s="19"/>
      <c r="Q77" s="18"/>
      <c r="R77" s="19"/>
      <c r="S77" s="18"/>
      <c r="T77" s="19"/>
      <c r="U77" s="18"/>
      <c r="V77" s="19"/>
      <c r="W77" s="18"/>
      <c r="X77" s="19"/>
      <c r="Y77" s="18"/>
      <c r="Z77" s="19"/>
      <c r="AA77" s="18"/>
      <c r="AB77" s="19"/>
    </row>
    <row r="78" spans="1:28" ht="48" customHeight="1">
      <c r="A78" s="18"/>
      <c r="B78" s="19"/>
      <c r="C78" s="18"/>
      <c r="D78" s="19"/>
      <c r="E78" s="18"/>
      <c r="F78" s="19"/>
      <c r="G78" s="18"/>
      <c r="H78" s="19"/>
      <c r="I78" s="18"/>
      <c r="J78" s="19"/>
      <c r="K78" s="18"/>
      <c r="L78" s="19"/>
      <c r="M78" s="18"/>
      <c r="N78" s="19"/>
      <c r="O78" s="18"/>
      <c r="P78" s="19"/>
      <c r="Q78" s="18"/>
      <c r="R78" s="19"/>
      <c r="S78" s="18"/>
      <c r="T78" s="19"/>
      <c r="U78" s="18"/>
      <c r="V78" s="19"/>
      <c r="W78" s="18"/>
      <c r="X78" s="19"/>
      <c r="Y78" s="18"/>
      <c r="Z78" s="19"/>
      <c r="AA78" s="18"/>
      <c r="AB78" s="19"/>
    </row>
    <row r="79" spans="1:28" ht="48" customHeight="1">
      <c r="A79" s="18"/>
      <c r="B79" s="19"/>
      <c r="C79" s="18"/>
      <c r="D79" s="19"/>
      <c r="E79" s="18"/>
      <c r="F79" s="19"/>
      <c r="G79" s="18"/>
      <c r="H79" s="19"/>
      <c r="I79" s="18"/>
      <c r="J79" s="19"/>
      <c r="K79" s="18"/>
      <c r="L79" s="19"/>
      <c r="M79" s="18"/>
      <c r="N79" s="19"/>
      <c r="O79" s="18"/>
      <c r="P79" s="19"/>
      <c r="Q79" s="18"/>
      <c r="R79" s="19"/>
      <c r="S79" s="18"/>
      <c r="T79" s="19"/>
      <c r="U79" s="18"/>
      <c r="V79" s="19"/>
      <c r="W79" s="18"/>
      <c r="X79" s="19"/>
      <c r="Y79" s="18"/>
      <c r="Z79" s="19"/>
      <c r="AA79" s="18"/>
      <c r="AB79" s="19"/>
    </row>
    <row r="80" spans="1:28" ht="48" customHeight="1">
      <c r="A80" s="18"/>
      <c r="B80" s="19"/>
      <c r="C80" s="18"/>
      <c r="D80" s="19"/>
      <c r="E80" s="18"/>
      <c r="F80" s="19"/>
      <c r="G80" s="18"/>
      <c r="H80" s="19"/>
      <c r="I80" s="18"/>
      <c r="J80" s="19"/>
      <c r="K80" s="18"/>
      <c r="L80" s="19"/>
      <c r="M80" s="18"/>
      <c r="N80" s="19"/>
      <c r="O80" s="18"/>
      <c r="P80" s="19"/>
      <c r="Q80" s="18"/>
      <c r="R80" s="19"/>
      <c r="S80" s="18"/>
      <c r="T80" s="19"/>
      <c r="U80" s="18"/>
      <c r="V80" s="19"/>
      <c r="W80" s="18"/>
      <c r="X80" s="19"/>
      <c r="Y80" s="18"/>
      <c r="Z80" s="19"/>
      <c r="AA80" s="18"/>
      <c r="AB80" s="19"/>
    </row>
    <row r="81" spans="1:28" ht="48" customHeight="1">
      <c r="A81" s="18"/>
      <c r="B81" s="19"/>
      <c r="C81" s="18"/>
      <c r="D81" s="19"/>
      <c r="E81" s="18"/>
      <c r="F81" s="19"/>
      <c r="G81" s="18"/>
      <c r="H81" s="19"/>
      <c r="I81" s="18"/>
      <c r="J81" s="19"/>
      <c r="K81" s="18"/>
      <c r="L81" s="19"/>
      <c r="M81" s="18"/>
      <c r="N81" s="19"/>
      <c r="O81" s="18"/>
      <c r="P81" s="19"/>
      <c r="Q81" s="18"/>
      <c r="R81" s="19"/>
      <c r="S81" s="18"/>
      <c r="T81" s="19"/>
      <c r="U81" s="18"/>
      <c r="V81" s="19"/>
      <c r="W81" s="18"/>
      <c r="X81" s="19"/>
      <c r="Y81" s="18"/>
      <c r="Z81" s="19"/>
      <c r="AA81" s="18"/>
      <c r="AB81" s="19"/>
    </row>
    <row r="82" spans="1:28" ht="48" customHeight="1">
      <c r="A82" s="18"/>
      <c r="B82" s="19"/>
      <c r="C82" s="18"/>
      <c r="D82" s="19"/>
      <c r="E82" s="18"/>
      <c r="F82" s="19"/>
      <c r="G82" s="18"/>
      <c r="H82" s="19"/>
      <c r="I82" s="18"/>
      <c r="J82" s="19"/>
      <c r="K82" s="18"/>
      <c r="L82" s="19"/>
      <c r="M82" s="18"/>
      <c r="N82" s="19"/>
      <c r="O82" s="18"/>
      <c r="P82" s="19"/>
      <c r="Q82" s="18"/>
      <c r="R82" s="19"/>
      <c r="S82" s="18"/>
      <c r="T82" s="19"/>
      <c r="U82" s="18"/>
      <c r="V82" s="19"/>
      <c r="W82" s="18"/>
      <c r="X82" s="19"/>
      <c r="Y82" s="18"/>
      <c r="Z82" s="19"/>
      <c r="AA82" s="18"/>
      <c r="AB82" s="19"/>
    </row>
    <row r="83" spans="1:28" ht="48" customHeight="1">
      <c r="A83" s="18"/>
      <c r="B83" s="19"/>
      <c r="C83" s="18"/>
      <c r="D83" s="19"/>
      <c r="E83" s="18"/>
      <c r="F83" s="19"/>
      <c r="G83" s="18"/>
      <c r="H83" s="19"/>
      <c r="I83" s="18"/>
      <c r="J83" s="19"/>
      <c r="K83" s="18"/>
      <c r="L83" s="19"/>
      <c r="M83" s="18"/>
      <c r="N83" s="19"/>
      <c r="O83" s="18"/>
      <c r="P83" s="19"/>
      <c r="Q83" s="18"/>
      <c r="R83" s="19"/>
      <c r="S83" s="18"/>
      <c r="T83" s="19"/>
      <c r="U83" s="18"/>
      <c r="V83" s="19"/>
      <c r="W83" s="18"/>
      <c r="X83" s="19"/>
      <c r="Y83" s="18"/>
      <c r="Z83" s="19"/>
      <c r="AA83" s="18"/>
      <c r="AB83" s="19"/>
    </row>
    <row r="84" spans="1:28" ht="48" customHeight="1">
      <c r="A84" s="18"/>
      <c r="B84" s="19"/>
      <c r="C84" s="18"/>
      <c r="D84" s="19"/>
      <c r="E84" s="18"/>
      <c r="F84" s="19"/>
      <c r="G84" s="18"/>
      <c r="H84" s="19"/>
      <c r="I84" s="18"/>
      <c r="J84" s="19"/>
      <c r="K84" s="18"/>
      <c r="L84" s="19"/>
      <c r="M84" s="18"/>
      <c r="N84" s="19"/>
      <c r="O84" s="18"/>
      <c r="P84" s="19"/>
      <c r="Q84" s="18"/>
      <c r="R84" s="19"/>
      <c r="S84" s="18"/>
      <c r="T84" s="19"/>
      <c r="U84" s="18"/>
      <c r="V84" s="19"/>
      <c r="W84" s="18"/>
      <c r="X84" s="19"/>
      <c r="Y84" s="18"/>
      <c r="Z84" s="19"/>
      <c r="AA84" s="18"/>
      <c r="AB84" s="19"/>
    </row>
    <row r="85" spans="1:28" ht="48" customHeight="1">
      <c r="A85" s="18"/>
      <c r="B85" s="19"/>
      <c r="C85" s="18"/>
      <c r="D85" s="19"/>
      <c r="E85" s="18"/>
      <c r="F85" s="19"/>
      <c r="G85" s="18"/>
      <c r="H85" s="19"/>
      <c r="I85" s="18"/>
      <c r="J85" s="19"/>
      <c r="K85" s="18"/>
      <c r="L85" s="19"/>
      <c r="M85" s="18"/>
      <c r="N85" s="19"/>
      <c r="O85" s="18"/>
      <c r="P85" s="19"/>
      <c r="Q85" s="18"/>
      <c r="R85" s="19"/>
      <c r="S85" s="18"/>
      <c r="T85" s="19"/>
      <c r="U85" s="18"/>
      <c r="V85" s="19"/>
      <c r="W85" s="18"/>
      <c r="X85" s="19"/>
      <c r="Y85" s="18"/>
      <c r="Z85" s="19"/>
      <c r="AA85" s="18"/>
      <c r="AB85" s="19"/>
    </row>
    <row r="86" spans="1:28" ht="48" customHeight="1">
      <c r="A86" s="18"/>
      <c r="B86" s="19"/>
      <c r="C86" s="18"/>
      <c r="D86" s="19"/>
      <c r="E86" s="18"/>
      <c r="F86" s="19"/>
      <c r="G86" s="18"/>
      <c r="H86" s="19"/>
      <c r="I86" s="18"/>
      <c r="J86" s="19"/>
      <c r="K86" s="18"/>
      <c r="L86" s="19"/>
      <c r="M86" s="18"/>
      <c r="N86" s="19"/>
      <c r="O86" s="18"/>
      <c r="P86" s="19"/>
      <c r="Q86" s="18"/>
      <c r="R86" s="19"/>
      <c r="S86" s="18"/>
      <c r="T86" s="19"/>
      <c r="U86" s="18"/>
      <c r="V86" s="19"/>
      <c r="W86" s="18"/>
      <c r="X86" s="19"/>
      <c r="Y86" s="18"/>
      <c r="Z86" s="19"/>
      <c r="AA86" s="18"/>
      <c r="AB86" s="19"/>
    </row>
    <row r="87" spans="1:28" ht="48" customHeight="1">
      <c r="A87" s="18"/>
      <c r="B87" s="19"/>
      <c r="C87" s="18"/>
      <c r="D87" s="19"/>
      <c r="E87" s="18"/>
      <c r="F87" s="19"/>
      <c r="G87" s="18"/>
      <c r="H87" s="19"/>
      <c r="I87" s="18"/>
      <c r="J87" s="19"/>
      <c r="K87" s="18"/>
      <c r="L87" s="19"/>
      <c r="M87" s="18"/>
      <c r="N87" s="19"/>
      <c r="O87" s="18"/>
      <c r="P87" s="19"/>
      <c r="Q87" s="18"/>
      <c r="R87" s="19"/>
      <c r="S87" s="18"/>
      <c r="T87" s="19"/>
      <c r="U87" s="18"/>
      <c r="V87" s="19"/>
      <c r="W87" s="18"/>
      <c r="X87" s="19"/>
      <c r="Y87" s="18"/>
      <c r="Z87" s="19"/>
      <c r="AA87" s="18"/>
      <c r="AB87" s="19"/>
    </row>
    <row r="88" spans="1:28" ht="48" customHeight="1">
      <c r="A88" s="18"/>
      <c r="B88" s="19"/>
      <c r="C88" s="18"/>
      <c r="D88" s="19"/>
      <c r="E88" s="18"/>
      <c r="F88" s="19"/>
      <c r="G88" s="18"/>
      <c r="H88" s="19"/>
      <c r="I88" s="18"/>
      <c r="J88" s="19"/>
      <c r="K88" s="18"/>
      <c r="L88" s="19"/>
      <c r="M88" s="18"/>
      <c r="N88" s="19"/>
      <c r="O88" s="18"/>
      <c r="P88" s="19"/>
      <c r="Q88" s="18"/>
      <c r="R88" s="19"/>
      <c r="S88" s="18"/>
      <c r="T88" s="19"/>
      <c r="U88" s="18"/>
      <c r="V88" s="19"/>
      <c r="W88" s="18"/>
      <c r="X88" s="19"/>
      <c r="Y88" s="18"/>
      <c r="Z88" s="19"/>
      <c r="AA88" s="18"/>
      <c r="AB88" s="19"/>
    </row>
    <row r="89" spans="1:28" ht="48" customHeight="1">
      <c r="A89" s="18"/>
      <c r="B89" s="19"/>
      <c r="C89" s="18"/>
      <c r="D89" s="19"/>
      <c r="E89" s="18"/>
      <c r="F89" s="19"/>
      <c r="G89" s="18"/>
      <c r="H89" s="19"/>
      <c r="I89" s="18"/>
      <c r="J89" s="19"/>
      <c r="K89" s="18"/>
      <c r="L89" s="19"/>
      <c r="M89" s="18"/>
      <c r="N89" s="19"/>
      <c r="O89" s="18"/>
      <c r="P89" s="19"/>
      <c r="Q89" s="18"/>
      <c r="R89" s="19"/>
      <c r="S89" s="18"/>
      <c r="T89" s="19"/>
      <c r="U89" s="18"/>
      <c r="V89" s="19"/>
      <c r="W89" s="18"/>
      <c r="X89" s="19"/>
      <c r="Y89" s="18"/>
      <c r="Z89" s="19"/>
      <c r="AA89" s="18"/>
      <c r="AB89" s="19"/>
    </row>
    <row r="90" spans="1:28" ht="48" customHeight="1">
      <c r="A90" s="18"/>
      <c r="B90" s="19"/>
      <c r="C90" s="18"/>
      <c r="D90" s="19"/>
      <c r="E90" s="18"/>
      <c r="F90" s="19"/>
      <c r="G90" s="18"/>
      <c r="H90" s="19"/>
      <c r="I90" s="18"/>
      <c r="J90" s="19"/>
      <c r="K90" s="18"/>
      <c r="L90" s="19"/>
      <c r="M90" s="18"/>
      <c r="N90" s="19"/>
      <c r="O90" s="18"/>
      <c r="P90" s="19"/>
      <c r="Q90" s="18"/>
      <c r="R90" s="19"/>
      <c r="S90" s="18"/>
      <c r="T90" s="19"/>
      <c r="U90" s="18"/>
      <c r="V90" s="19"/>
      <c r="W90" s="18"/>
      <c r="X90" s="19"/>
      <c r="Y90" s="18"/>
      <c r="Z90" s="19"/>
      <c r="AA90" s="18"/>
      <c r="AB90" s="19"/>
    </row>
    <row r="91" spans="1:28" ht="48" customHeight="1">
      <c r="A91" s="18"/>
      <c r="B91" s="19"/>
      <c r="C91" s="18"/>
      <c r="D91" s="19"/>
      <c r="E91" s="18"/>
      <c r="F91" s="19"/>
      <c r="G91" s="18"/>
      <c r="H91" s="19"/>
      <c r="I91" s="18"/>
      <c r="J91" s="19"/>
      <c r="K91" s="18"/>
      <c r="L91" s="19"/>
      <c r="M91" s="18"/>
      <c r="N91" s="19"/>
      <c r="O91" s="18"/>
      <c r="P91" s="19"/>
      <c r="Q91" s="18"/>
      <c r="R91" s="19"/>
      <c r="S91" s="18"/>
      <c r="T91" s="19"/>
      <c r="U91" s="18"/>
      <c r="V91" s="19"/>
      <c r="W91" s="18"/>
      <c r="X91" s="19"/>
      <c r="Y91" s="18"/>
      <c r="Z91" s="19"/>
      <c r="AA91" s="18"/>
      <c r="AB91" s="19"/>
    </row>
    <row r="92" spans="1:28" ht="48" customHeight="1">
      <c r="A92" s="18"/>
      <c r="B92" s="19"/>
      <c r="C92" s="18"/>
      <c r="D92" s="19"/>
      <c r="E92" s="18"/>
      <c r="F92" s="19"/>
      <c r="G92" s="18"/>
      <c r="H92" s="19"/>
      <c r="I92" s="18"/>
      <c r="J92" s="19"/>
      <c r="K92" s="18"/>
      <c r="L92" s="19"/>
      <c r="M92" s="18"/>
      <c r="N92" s="19"/>
      <c r="O92" s="18"/>
      <c r="P92" s="19"/>
      <c r="Q92" s="18"/>
      <c r="R92" s="19"/>
      <c r="S92" s="18"/>
      <c r="T92" s="19"/>
      <c r="U92" s="18"/>
      <c r="V92" s="19"/>
      <c r="W92" s="18"/>
      <c r="X92" s="19"/>
      <c r="Y92" s="18"/>
      <c r="Z92" s="19"/>
      <c r="AA92" s="18"/>
      <c r="AB92" s="19"/>
    </row>
    <row r="93" spans="1:28" ht="48" customHeight="1">
      <c r="A93" s="18"/>
      <c r="B93" s="19"/>
      <c r="C93" s="18"/>
      <c r="D93" s="19"/>
      <c r="E93" s="18"/>
      <c r="F93" s="19"/>
      <c r="G93" s="18"/>
      <c r="H93" s="19"/>
      <c r="I93" s="18"/>
      <c r="J93" s="19"/>
      <c r="K93" s="18"/>
      <c r="L93" s="19"/>
      <c r="M93" s="18"/>
      <c r="N93" s="19"/>
      <c r="O93" s="18"/>
      <c r="P93" s="19"/>
      <c r="Q93" s="18"/>
      <c r="R93" s="19"/>
      <c r="S93" s="18"/>
      <c r="T93" s="19"/>
      <c r="U93" s="18"/>
      <c r="V93" s="19"/>
      <c r="W93" s="18"/>
      <c r="X93" s="19"/>
      <c r="Y93" s="18"/>
      <c r="Z93" s="19"/>
      <c r="AA93" s="18"/>
      <c r="AB93" s="19"/>
    </row>
    <row r="94" spans="1:28" ht="48" customHeight="1">
      <c r="A94" s="18"/>
      <c r="B94" s="19"/>
      <c r="C94" s="18"/>
      <c r="D94" s="19"/>
      <c r="E94" s="18"/>
      <c r="F94" s="19"/>
      <c r="G94" s="18"/>
      <c r="H94" s="19"/>
      <c r="I94" s="18"/>
      <c r="J94" s="19"/>
      <c r="K94" s="18"/>
      <c r="L94" s="19"/>
      <c r="M94" s="18"/>
      <c r="N94" s="19"/>
      <c r="O94" s="18"/>
      <c r="P94" s="19"/>
      <c r="Q94" s="18"/>
      <c r="R94" s="19"/>
      <c r="S94" s="18"/>
      <c r="T94" s="19"/>
      <c r="U94" s="18"/>
      <c r="V94" s="19"/>
      <c r="W94" s="18"/>
      <c r="X94" s="19"/>
      <c r="Y94" s="18"/>
      <c r="Z94" s="19"/>
      <c r="AA94" s="18"/>
      <c r="AB94" s="19"/>
    </row>
    <row r="95" spans="1:28" ht="48" customHeight="1">
      <c r="A95" s="18"/>
      <c r="B95" s="19"/>
      <c r="C95" s="18"/>
      <c r="D95" s="19"/>
      <c r="E95" s="18"/>
      <c r="F95" s="19"/>
      <c r="G95" s="18"/>
      <c r="H95" s="19"/>
      <c r="I95" s="18"/>
      <c r="J95" s="19"/>
      <c r="K95" s="18"/>
      <c r="L95" s="19"/>
      <c r="M95" s="18"/>
      <c r="N95" s="19"/>
      <c r="O95" s="18"/>
      <c r="P95" s="19"/>
      <c r="Q95" s="20"/>
      <c r="R95" s="19"/>
      <c r="S95" s="18"/>
      <c r="T95" s="19"/>
      <c r="U95" s="18"/>
      <c r="V95" s="19"/>
      <c r="W95" s="18"/>
      <c r="X95" s="19"/>
      <c r="Y95" s="18"/>
      <c r="Z95" s="19"/>
      <c r="AA95" s="18"/>
      <c r="AB95" s="19"/>
    </row>
    <row r="2125" spans="25:25" ht="48" customHeight="1">
      <c r="Y2125" s="54" t="s">
        <v>44</v>
      </c>
    </row>
    <row r="2184" spans="25:25" ht="48" customHeight="1">
      <c r="Y2184" s="12" t="s">
        <v>42</v>
      </c>
    </row>
  </sheetData>
  <mergeCells count="25">
    <mergeCell ref="I23:L23"/>
    <mergeCell ref="A2:AB2"/>
    <mergeCell ref="E5:H5"/>
    <mergeCell ref="I5:L5"/>
    <mergeCell ref="M5:P5"/>
    <mergeCell ref="Q5:T5"/>
    <mergeCell ref="U5:X5"/>
    <mergeCell ref="Y5:AB5"/>
    <mergeCell ref="A5:D5"/>
    <mergeCell ref="A48:AB48"/>
    <mergeCell ref="A34:AB34"/>
    <mergeCell ref="U14:X14"/>
    <mergeCell ref="Y14:AB14"/>
    <mergeCell ref="A23:D23"/>
    <mergeCell ref="E23:H23"/>
    <mergeCell ref="M23:P23"/>
    <mergeCell ref="Q23:T23"/>
    <mergeCell ref="U23:X23"/>
    <mergeCell ref="Y23:AB23"/>
    <mergeCell ref="A14:D14"/>
    <mergeCell ref="E14:H14"/>
    <mergeCell ref="I14:L14"/>
    <mergeCell ref="M14:P14"/>
    <mergeCell ref="A42:AB42"/>
    <mergeCell ref="Q14:T14"/>
  </mergeCells>
  <printOptions horizontalCentered="1"/>
  <pageMargins left="0.7" right="0.7" top="0.75" bottom="0.75" header="0.3" footer="0.3"/>
  <pageSetup paperSize="8" scale="10" orientation="landscape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tabSelected="1" zoomScale="57" zoomScaleNormal="57" workbookViewId="0">
      <selection activeCell="E35" sqref="E35"/>
    </sheetView>
  </sheetViews>
  <sheetFormatPr defaultColWidth="8.85546875" defaultRowHeight="14.45" customHeight="1"/>
  <cols>
    <col min="1" max="1" width="1.42578125" style="6" customWidth="1"/>
    <col min="2" max="2" width="36.28515625" style="6" customWidth="1"/>
    <col min="3" max="3" width="10.7109375" style="11" customWidth="1"/>
    <col min="4" max="4" width="35.5703125" style="6" customWidth="1"/>
    <col min="5" max="5" width="10.7109375" style="11" customWidth="1"/>
    <col min="6" max="6" width="36" style="6" customWidth="1"/>
    <col min="7" max="7" width="10.7109375" style="11" customWidth="1"/>
    <col min="8" max="8" width="35.85546875" style="6" customWidth="1"/>
    <col min="9" max="9" width="10.7109375" style="11" customWidth="1"/>
    <col min="10" max="10" width="35.5703125" style="6" customWidth="1"/>
    <col min="11" max="11" width="10.7109375" style="11" customWidth="1"/>
    <col min="12" max="12" width="35.28515625" style="6" customWidth="1"/>
    <col min="13" max="13" width="10.7109375" style="11" customWidth="1"/>
    <col min="14" max="14" width="36.28515625" style="6" customWidth="1"/>
    <col min="15" max="15" width="10.7109375" style="11" customWidth="1"/>
    <col min="16" max="16" width="8.85546875" style="6" customWidth="1"/>
    <col min="17" max="16384" width="8.85546875" style="6"/>
  </cols>
  <sheetData>
    <row r="1" spans="1:15" ht="39" customHeight="1" thickBot="1">
      <c r="A1" s="7"/>
      <c r="B1" s="269" t="s">
        <v>56</v>
      </c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1"/>
    </row>
    <row r="2" spans="1:15" ht="11.25" customHeight="1" thickBot="1">
      <c r="A2" s="140"/>
      <c r="B2" s="141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3"/>
    </row>
    <row r="3" spans="1:15" ht="18" customHeight="1" thickBot="1">
      <c r="A3" s="7"/>
      <c r="B3" s="26">
        <v>46279</v>
      </c>
      <c r="C3" s="32" t="s">
        <v>1</v>
      </c>
      <c r="D3" s="28">
        <v>46280</v>
      </c>
      <c r="E3" s="32" t="s">
        <v>1</v>
      </c>
      <c r="F3" s="28">
        <v>46281</v>
      </c>
      <c r="G3" s="32" t="s">
        <v>1</v>
      </c>
      <c r="H3" s="28">
        <v>46282</v>
      </c>
      <c r="I3" s="32" t="s">
        <v>1</v>
      </c>
      <c r="J3" s="28">
        <v>46283</v>
      </c>
      <c r="K3" s="32" t="s">
        <v>1</v>
      </c>
      <c r="L3" s="139">
        <v>46284</v>
      </c>
      <c r="M3" s="32" t="s">
        <v>1</v>
      </c>
      <c r="N3" s="28">
        <v>46285</v>
      </c>
      <c r="O3" s="32" t="s">
        <v>1</v>
      </c>
    </row>
    <row r="4" spans="1:15" ht="15.6" customHeight="1">
      <c r="A4" s="7"/>
      <c r="B4" s="36" t="s">
        <v>19</v>
      </c>
      <c r="C4" s="192">
        <v>120</v>
      </c>
      <c r="D4" s="36" t="s">
        <v>23</v>
      </c>
      <c r="E4" s="192">
        <v>120</v>
      </c>
      <c r="F4" s="36" t="s">
        <v>19</v>
      </c>
      <c r="G4" s="192">
        <v>120</v>
      </c>
      <c r="H4" s="36" t="s">
        <v>23</v>
      </c>
      <c r="I4" s="192">
        <v>120</v>
      </c>
      <c r="J4" s="36" t="s">
        <v>19</v>
      </c>
      <c r="K4" s="192">
        <v>120</v>
      </c>
      <c r="L4" s="36" t="s">
        <v>23</v>
      </c>
      <c r="M4" s="192">
        <v>120</v>
      </c>
      <c r="N4" s="36" t="s">
        <v>19</v>
      </c>
      <c r="O4" s="192">
        <v>120</v>
      </c>
    </row>
    <row r="5" spans="1:15" ht="15.6" customHeight="1">
      <c r="A5" s="7"/>
      <c r="B5" s="193" t="s">
        <v>20</v>
      </c>
      <c r="C5" s="194">
        <v>40</v>
      </c>
      <c r="D5" s="193" t="s">
        <v>20</v>
      </c>
      <c r="E5" s="194">
        <v>40</v>
      </c>
      <c r="F5" s="193" t="s">
        <v>20</v>
      </c>
      <c r="G5" s="194">
        <v>40</v>
      </c>
      <c r="H5" s="193" t="s">
        <v>20</v>
      </c>
      <c r="I5" s="194">
        <v>40</v>
      </c>
      <c r="J5" s="193" t="s">
        <v>20</v>
      </c>
      <c r="K5" s="194">
        <v>40</v>
      </c>
      <c r="L5" s="193" t="s">
        <v>20</v>
      </c>
      <c r="M5" s="194">
        <v>40</v>
      </c>
      <c r="N5" s="193" t="s">
        <v>20</v>
      </c>
      <c r="O5" s="194">
        <v>40</v>
      </c>
    </row>
    <row r="6" spans="1:15" ht="15.6" customHeight="1">
      <c r="A6" s="7"/>
      <c r="B6" s="193" t="s">
        <v>21</v>
      </c>
      <c r="C6" s="194">
        <v>8</v>
      </c>
      <c r="D6" s="193" t="s">
        <v>21</v>
      </c>
      <c r="E6" s="194">
        <v>8</v>
      </c>
      <c r="F6" s="193" t="s">
        <v>21</v>
      </c>
      <c r="G6" s="194">
        <v>8</v>
      </c>
      <c r="H6" s="193" t="s">
        <v>21</v>
      </c>
      <c r="I6" s="194">
        <v>8</v>
      </c>
      <c r="J6" s="193" t="s">
        <v>21</v>
      </c>
      <c r="K6" s="194">
        <v>8</v>
      </c>
      <c r="L6" s="193" t="s">
        <v>21</v>
      </c>
      <c r="M6" s="194">
        <v>8</v>
      </c>
      <c r="N6" s="193" t="s">
        <v>21</v>
      </c>
      <c r="O6" s="194">
        <v>8</v>
      </c>
    </row>
    <row r="7" spans="1:15" ht="15.6" customHeight="1">
      <c r="A7" s="7"/>
      <c r="B7" s="195" t="s">
        <v>106</v>
      </c>
      <c r="C7" s="194">
        <v>140</v>
      </c>
      <c r="D7" s="196" t="s">
        <v>105</v>
      </c>
      <c r="E7" s="194">
        <v>115</v>
      </c>
      <c r="F7" s="197" t="s">
        <v>108</v>
      </c>
      <c r="G7" s="194">
        <v>113</v>
      </c>
      <c r="H7" s="197" t="s">
        <v>135</v>
      </c>
      <c r="I7" s="194">
        <v>112</v>
      </c>
      <c r="J7" s="197" t="s">
        <v>107</v>
      </c>
      <c r="K7" s="194">
        <v>275</v>
      </c>
      <c r="L7" s="145" t="s">
        <v>109</v>
      </c>
      <c r="M7" s="198">
        <v>50</v>
      </c>
      <c r="N7" s="197" t="s">
        <v>106</v>
      </c>
      <c r="O7" s="194">
        <v>140</v>
      </c>
    </row>
    <row r="8" spans="1:15" ht="15.6" customHeight="1">
      <c r="A8" s="7"/>
      <c r="B8" s="199" t="s">
        <v>110</v>
      </c>
      <c r="C8" s="194">
        <v>147</v>
      </c>
      <c r="D8" s="197" t="s">
        <v>111</v>
      </c>
      <c r="E8" s="194">
        <v>75</v>
      </c>
      <c r="F8" s="197" t="s">
        <v>112</v>
      </c>
      <c r="G8" s="194">
        <v>109</v>
      </c>
      <c r="H8" s="197" t="s">
        <v>114</v>
      </c>
      <c r="I8" s="194">
        <v>63</v>
      </c>
      <c r="J8" s="197" t="s">
        <v>113</v>
      </c>
      <c r="K8" s="194">
        <v>76</v>
      </c>
      <c r="L8" s="200" t="s">
        <v>115</v>
      </c>
      <c r="M8" s="201">
        <v>117</v>
      </c>
      <c r="N8" s="202" t="s">
        <v>110</v>
      </c>
      <c r="O8" s="198">
        <v>147</v>
      </c>
    </row>
    <row r="9" spans="1:15" ht="15.6" customHeight="1">
      <c r="A9" s="8"/>
      <c r="B9" s="199" t="s">
        <v>120</v>
      </c>
      <c r="C9" s="194">
        <v>328</v>
      </c>
      <c r="D9" s="197" t="s">
        <v>121</v>
      </c>
      <c r="E9" s="194">
        <v>243</v>
      </c>
      <c r="F9" s="197" t="s">
        <v>118</v>
      </c>
      <c r="G9" s="194">
        <v>358</v>
      </c>
      <c r="H9" s="203" t="s">
        <v>116</v>
      </c>
      <c r="I9" s="194">
        <v>82</v>
      </c>
      <c r="J9" s="197" t="s">
        <v>119</v>
      </c>
      <c r="K9" s="194">
        <v>215</v>
      </c>
      <c r="L9" s="145" t="s">
        <v>117</v>
      </c>
      <c r="M9" s="198">
        <v>381</v>
      </c>
      <c r="N9" s="204" t="s">
        <v>122</v>
      </c>
      <c r="O9" s="198">
        <v>78</v>
      </c>
    </row>
    <row r="10" spans="1:15" ht="15.6" customHeight="1" thickBot="1">
      <c r="A10" s="9"/>
      <c r="B10" s="205" t="s">
        <v>122</v>
      </c>
      <c r="C10" s="206">
        <v>78</v>
      </c>
      <c r="D10" s="207" t="s">
        <v>123</v>
      </c>
      <c r="E10" s="206">
        <v>242</v>
      </c>
      <c r="F10" s="207" t="s">
        <v>124</v>
      </c>
      <c r="G10" s="206">
        <v>183</v>
      </c>
      <c r="H10" s="207" t="s">
        <v>122</v>
      </c>
      <c r="I10" s="206">
        <v>78</v>
      </c>
      <c r="J10" s="207" t="s">
        <v>125</v>
      </c>
      <c r="K10" s="206">
        <v>90</v>
      </c>
      <c r="L10" s="208" t="s">
        <v>126</v>
      </c>
      <c r="M10" s="209">
        <v>205</v>
      </c>
      <c r="N10" s="210" t="s">
        <v>127</v>
      </c>
      <c r="O10" s="209">
        <v>312</v>
      </c>
    </row>
    <row r="11" spans="1:15" ht="16.350000000000001" customHeight="1" thickBot="1">
      <c r="A11" s="10"/>
      <c r="B11" s="24" t="s">
        <v>3</v>
      </c>
      <c r="C11" s="68">
        <f>SUM(C4:C10)</f>
        <v>861</v>
      </c>
      <c r="D11" s="25" t="s">
        <v>3</v>
      </c>
      <c r="E11" s="22">
        <f>SUM(E4:E10)</f>
        <v>843</v>
      </c>
      <c r="F11" s="25" t="s">
        <v>3</v>
      </c>
      <c r="G11" s="68">
        <f>SUM(G4:G10)</f>
        <v>931</v>
      </c>
      <c r="H11" s="25" t="s">
        <v>3</v>
      </c>
      <c r="I11" s="68">
        <f>SUM(I4:I10)</f>
        <v>503</v>
      </c>
      <c r="J11" s="25" t="s">
        <v>3</v>
      </c>
      <c r="K11" s="68">
        <f>SUM(K4:K10)</f>
        <v>824</v>
      </c>
      <c r="L11" s="25" t="s">
        <v>3</v>
      </c>
      <c r="M11" s="68">
        <f>SUM(M4:M10)</f>
        <v>921</v>
      </c>
      <c r="N11" s="25" t="s">
        <v>3</v>
      </c>
      <c r="O11" s="68">
        <f>SUM(O4:O10)</f>
        <v>845</v>
      </c>
    </row>
    <row r="12" spans="1:15" ht="18" customHeight="1" thickBot="1">
      <c r="A12" s="7"/>
      <c r="B12" s="29">
        <v>46286</v>
      </c>
      <c r="C12" s="27" t="s">
        <v>1</v>
      </c>
      <c r="D12" s="30">
        <v>46287</v>
      </c>
      <c r="E12" s="27" t="s">
        <v>1</v>
      </c>
      <c r="F12" s="30">
        <v>46288</v>
      </c>
      <c r="G12" s="27" t="s">
        <v>1</v>
      </c>
      <c r="H12" s="30">
        <v>46289</v>
      </c>
      <c r="I12" s="27" t="s">
        <v>1</v>
      </c>
      <c r="J12" s="30">
        <v>46290</v>
      </c>
      <c r="K12" s="27" t="s">
        <v>1</v>
      </c>
      <c r="L12" s="38">
        <v>46291</v>
      </c>
      <c r="M12" s="27" t="s">
        <v>1</v>
      </c>
      <c r="N12" s="30">
        <v>46292</v>
      </c>
      <c r="O12" s="27" t="s">
        <v>1</v>
      </c>
    </row>
    <row r="13" spans="1:15" ht="15.6" customHeight="1">
      <c r="A13" s="7"/>
      <c r="B13" s="36" t="s">
        <v>19</v>
      </c>
      <c r="C13" s="192">
        <v>120</v>
      </c>
      <c r="D13" s="36" t="s">
        <v>23</v>
      </c>
      <c r="E13" s="192">
        <v>120</v>
      </c>
      <c r="F13" s="36" t="s">
        <v>19</v>
      </c>
      <c r="G13" s="192">
        <v>120</v>
      </c>
      <c r="H13" s="36" t="s">
        <v>23</v>
      </c>
      <c r="I13" s="192">
        <v>120</v>
      </c>
      <c r="J13" s="36" t="s">
        <v>19</v>
      </c>
      <c r="K13" s="192">
        <v>120</v>
      </c>
      <c r="L13" s="36" t="s">
        <v>23</v>
      </c>
      <c r="M13" s="192">
        <v>120</v>
      </c>
      <c r="N13" s="36" t="s">
        <v>19</v>
      </c>
      <c r="O13" s="192">
        <v>120</v>
      </c>
    </row>
    <row r="14" spans="1:15" ht="15.6" customHeight="1">
      <c r="A14" s="7"/>
      <c r="B14" s="104" t="s">
        <v>20</v>
      </c>
      <c r="C14" s="100">
        <v>40</v>
      </c>
      <c r="D14" s="104" t="s">
        <v>20</v>
      </c>
      <c r="E14" s="100">
        <v>40</v>
      </c>
      <c r="F14" s="104" t="s">
        <v>20</v>
      </c>
      <c r="G14" s="100">
        <v>40</v>
      </c>
      <c r="H14" s="104" t="s">
        <v>20</v>
      </c>
      <c r="I14" s="100">
        <v>40</v>
      </c>
      <c r="J14" s="104" t="s">
        <v>20</v>
      </c>
      <c r="K14" s="100">
        <v>40</v>
      </c>
      <c r="L14" s="104" t="s">
        <v>20</v>
      </c>
      <c r="M14" s="100">
        <v>40</v>
      </c>
      <c r="N14" s="104" t="s">
        <v>20</v>
      </c>
      <c r="O14" s="100">
        <v>40</v>
      </c>
    </row>
    <row r="15" spans="1:15" ht="15.6" customHeight="1">
      <c r="A15" s="7"/>
      <c r="B15" s="104" t="s">
        <v>21</v>
      </c>
      <c r="C15" s="100">
        <v>8</v>
      </c>
      <c r="D15" s="104" t="s">
        <v>21</v>
      </c>
      <c r="E15" s="100">
        <v>8</v>
      </c>
      <c r="F15" s="104" t="s">
        <v>21</v>
      </c>
      <c r="G15" s="100">
        <v>8</v>
      </c>
      <c r="H15" s="104" t="s">
        <v>21</v>
      </c>
      <c r="I15" s="100">
        <v>8</v>
      </c>
      <c r="J15" s="104" t="s">
        <v>21</v>
      </c>
      <c r="K15" s="100">
        <v>8</v>
      </c>
      <c r="L15" s="104" t="s">
        <v>21</v>
      </c>
      <c r="M15" s="100">
        <v>8</v>
      </c>
      <c r="N15" s="104" t="s">
        <v>21</v>
      </c>
      <c r="O15" s="100">
        <v>8</v>
      </c>
    </row>
    <row r="16" spans="1:15" ht="15.6" customHeight="1">
      <c r="A16" s="7"/>
      <c r="B16" s="105" t="s">
        <v>121</v>
      </c>
      <c r="C16" s="99">
        <v>243</v>
      </c>
      <c r="D16" s="211" t="s">
        <v>108</v>
      </c>
      <c r="E16" s="99">
        <v>113</v>
      </c>
      <c r="F16" s="212" t="s">
        <v>105</v>
      </c>
      <c r="G16" s="99">
        <v>115</v>
      </c>
      <c r="H16" s="213" t="s">
        <v>128</v>
      </c>
      <c r="I16" s="99">
        <v>311</v>
      </c>
      <c r="J16" s="213" t="s">
        <v>136</v>
      </c>
      <c r="K16" s="99">
        <v>120</v>
      </c>
      <c r="L16" s="106" t="s">
        <v>106</v>
      </c>
      <c r="M16" s="214">
        <v>140</v>
      </c>
      <c r="N16" s="215" t="s">
        <v>108</v>
      </c>
      <c r="O16" s="99">
        <v>113</v>
      </c>
    </row>
    <row r="17" spans="1:15" ht="15.6" customHeight="1">
      <c r="A17" s="7"/>
      <c r="B17" s="216" t="s">
        <v>113</v>
      </c>
      <c r="C17" s="99">
        <v>76</v>
      </c>
      <c r="D17" s="217" t="s">
        <v>112</v>
      </c>
      <c r="E17" s="99">
        <v>109</v>
      </c>
      <c r="F17" s="210" t="s">
        <v>129</v>
      </c>
      <c r="G17" s="99">
        <v>58</v>
      </c>
      <c r="H17" s="216" t="s">
        <v>115</v>
      </c>
      <c r="I17" s="99">
        <v>117</v>
      </c>
      <c r="J17" s="204" t="s">
        <v>110</v>
      </c>
      <c r="K17" s="99">
        <v>147</v>
      </c>
      <c r="L17" s="216" t="s">
        <v>130</v>
      </c>
      <c r="M17" s="99">
        <v>55</v>
      </c>
      <c r="N17" s="211" t="s">
        <v>115</v>
      </c>
      <c r="O17" s="99">
        <v>117</v>
      </c>
    </row>
    <row r="18" spans="1:15" ht="15.6" customHeight="1">
      <c r="A18" s="8"/>
      <c r="B18" s="216" t="s">
        <v>119</v>
      </c>
      <c r="C18" s="99">
        <v>215</v>
      </c>
      <c r="D18" s="218" t="s">
        <v>122</v>
      </c>
      <c r="E18" s="99">
        <v>78</v>
      </c>
      <c r="F18" s="219" t="s">
        <v>123</v>
      </c>
      <c r="G18" s="209">
        <v>242</v>
      </c>
      <c r="H18" s="213" t="s">
        <v>131</v>
      </c>
      <c r="I18" s="99">
        <v>65</v>
      </c>
      <c r="J18" s="210" t="s">
        <v>127</v>
      </c>
      <c r="K18" s="209">
        <v>312</v>
      </c>
      <c r="L18" s="210" t="s">
        <v>107</v>
      </c>
      <c r="M18" s="99">
        <v>275</v>
      </c>
      <c r="N18" s="39" t="s">
        <v>122</v>
      </c>
      <c r="O18" s="100">
        <v>78</v>
      </c>
    </row>
    <row r="19" spans="1:15" ht="15.6" customHeight="1" thickBot="1">
      <c r="A19" s="9"/>
      <c r="B19" s="220" t="s">
        <v>125</v>
      </c>
      <c r="C19" s="209">
        <v>90</v>
      </c>
      <c r="D19" s="219" t="s">
        <v>116</v>
      </c>
      <c r="E19" s="209">
        <v>82</v>
      </c>
      <c r="F19" s="221" t="s">
        <v>117</v>
      </c>
      <c r="G19" s="209">
        <v>381</v>
      </c>
      <c r="H19" s="222" t="s">
        <v>132</v>
      </c>
      <c r="I19" s="223">
        <v>238</v>
      </c>
      <c r="J19" s="224" t="s">
        <v>122</v>
      </c>
      <c r="K19" s="99">
        <v>78</v>
      </c>
      <c r="L19" s="225" t="s">
        <v>124</v>
      </c>
      <c r="M19" s="209">
        <v>183</v>
      </c>
      <c r="N19" s="219" t="s">
        <v>133</v>
      </c>
      <c r="O19" s="103">
        <v>311</v>
      </c>
    </row>
    <row r="20" spans="1:15" ht="16.350000000000001" customHeight="1" thickBot="1">
      <c r="A20" s="10"/>
      <c r="B20" s="24" t="s">
        <v>3</v>
      </c>
      <c r="C20" s="68">
        <f>SUM(C13:C19)</f>
        <v>792</v>
      </c>
      <c r="D20" s="25" t="s">
        <v>3</v>
      </c>
      <c r="E20" s="22">
        <f>SUM(E13:E19)</f>
        <v>550</v>
      </c>
      <c r="F20" s="25" t="s">
        <v>3</v>
      </c>
      <c r="G20" s="68">
        <f>SUM(G13:G19)</f>
        <v>964</v>
      </c>
      <c r="H20" s="102" t="s">
        <v>3</v>
      </c>
      <c r="I20" s="22">
        <f>SUM(I13:I19)</f>
        <v>899</v>
      </c>
      <c r="J20" s="25" t="s">
        <v>3</v>
      </c>
      <c r="K20" s="22">
        <f>SUM(K13:K19)</f>
        <v>825</v>
      </c>
      <c r="L20" s="25" t="s">
        <v>3</v>
      </c>
      <c r="M20" s="22">
        <f>SUM(M13:M19)</f>
        <v>821</v>
      </c>
      <c r="N20" s="25" t="s">
        <v>3</v>
      </c>
      <c r="O20" s="22">
        <f>SUM(O13:O19)</f>
        <v>787</v>
      </c>
    </row>
    <row r="21" spans="1:15" ht="18.75" customHeight="1" thickBot="1">
      <c r="A21" s="7"/>
      <c r="B21" s="29">
        <v>46293</v>
      </c>
      <c r="C21" s="31" t="s">
        <v>1</v>
      </c>
      <c r="D21" s="30">
        <v>46294</v>
      </c>
      <c r="E21" s="27" t="s">
        <v>1</v>
      </c>
      <c r="F21" s="30">
        <v>46295</v>
      </c>
      <c r="G21" s="27" t="s">
        <v>1</v>
      </c>
      <c r="H21" s="93"/>
      <c r="I21" s="94"/>
      <c r="J21" s="93"/>
      <c r="K21" s="94"/>
      <c r="L21" s="93"/>
      <c r="M21" s="94"/>
      <c r="N21" s="93"/>
      <c r="O21" s="107"/>
    </row>
    <row r="22" spans="1:15" ht="15.6" customHeight="1">
      <c r="A22" s="7"/>
      <c r="B22" s="36" t="s">
        <v>19</v>
      </c>
      <c r="C22" s="192">
        <v>120</v>
      </c>
      <c r="D22" s="36" t="s">
        <v>19</v>
      </c>
      <c r="E22" s="192">
        <v>120</v>
      </c>
      <c r="F22" s="36" t="s">
        <v>19</v>
      </c>
      <c r="G22" s="192">
        <v>120</v>
      </c>
      <c r="H22" s="90"/>
      <c r="I22" s="89"/>
      <c r="J22" s="90"/>
      <c r="K22" s="89"/>
      <c r="L22" s="90"/>
      <c r="M22" s="89"/>
      <c r="N22" s="90"/>
      <c r="O22" s="108"/>
    </row>
    <row r="23" spans="1:15" ht="15.6" customHeight="1">
      <c r="A23" s="7"/>
      <c r="B23" s="104" t="s">
        <v>20</v>
      </c>
      <c r="C23" s="100">
        <v>40</v>
      </c>
      <c r="D23" s="104" t="s">
        <v>20</v>
      </c>
      <c r="E23" s="100">
        <v>40</v>
      </c>
      <c r="F23" s="104" t="s">
        <v>20</v>
      </c>
      <c r="G23" s="100">
        <v>40</v>
      </c>
      <c r="H23" s="90"/>
      <c r="I23" s="89"/>
      <c r="J23" s="90"/>
      <c r="K23" s="89"/>
      <c r="L23" s="90"/>
      <c r="M23" s="89"/>
      <c r="N23" s="90"/>
      <c r="O23" s="108"/>
    </row>
    <row r="24" spans="1:15" ht="15.6" customHeight="1">
      <c r="A24" s="7"/>
      <c r="B24" s="104" t="s">
        <v>21</v>
      </c>
      <c r="C24" s="100">
        <v>8</v>
      </c>
      <c r="D24" s="104" t="s">
        <v>21</v>
      </c>
      <c r="E24" s="100">
        <v>8</v>
      </c>
      <c r="F24" s="104" t="s">
        <v>21</v>
      </c>
      <c r="G24" s="100">
        <v>8</v>
      </c>
      <c r="H24" s="90"/>
      <c r="I24" s="89"/>
      <c r="J24" s="90"/>
      <c r="K24" s="89"/>
      <c r="L24" s="90"/>
      <c r="M24" s="89"/>
      <c r="N24" s="90"/>
      <c r="O24" s="108"/>
    </row>
    <row r="25" spans="1:15" ht="15.6" customHeight="1">
      <c r="A25" s="7"/>
      <c r="B25" s="105" t="s">
        <v>117</v>
      </c>
      <c r="C25" s="99">
        <v>381</v>
      </c>
      <c r="D25" s="213" t="s">
        <v>105</v>
      </c>
      <c r="E25" s="99">
        <v>115</v>
      </c>
      <c r="F25" s="212" t="s">
        <v>135</v>
      </c>
      <c r="G25" s="99">
        <v>112</v>
      </c>
      <c r="H25" s="88"/>
      <c r="I25" s="89"/>
      <c r="J25" s="90"/>
      <c r="K25" s="89"/>
      <c r="L25" s="90"/>
      <c r="M25" s="89"/>
      <c r="N25" s="90"/>
      <c r="O25" s="108"/>
    </row>
    <row r="26" spans="1:15" ht="15.6" customHeight="1">
      <c r="A26" s="7"/>
      <c r="B26" s="226" t="s">
        <v>113</v>
      </c>
      <c r="C26" s="99">
        <v>76</v>
      </c>
      <c r="D26" s="216" t="s">
        <v>110</v>
      </c>
      <c r="E26" s="99">
        <v>147</v>
      </c>
      <c r="F26" s="227" t="s">
        <v>114</v>
      </c>
      <c r="G26" s="99">
        <v>63</v>
      </c>
      <c r="H26" s="90"/>
      <c r="I26" s="89"/>
      <c r="J26" s="90"/>
      <c r="K26" s="89"/>
      <c r="L26" s="90"/>
      <c r="M26" s="89"/>
      <c r="N26" s="91"/>
      <c r="O26" s="108"/>
    </row>
    <row r="27" spans="1:15" ht="15.6" customHeight="1">
      <c r="A27" s="8"/>
      <c r="B27" s="226" t="s">
        <v>119</v>
      </c>
      <c r="C27" s="99">
        <v>215</v>
      </c>
      <c r="D27" s="213" t="s">
        <v>120</v>
      </c>
      <c r="E27" s="99">
        <v>328</v>
      </c>
      <c r="F27" s="217" t="s">
        <v>118</v>
      </c>
      <c r="G27" s="100">
        <v>358</v>
      </c>
      <c r="H27" s="90"/>
      <c r="I27" s="92"/>
      <c r="J27" s="90"/>
      <c r="K27" s="89"/>
      <c r="L27" s="90"/>
      <c r="M27" s="89"/>
      <c r="N27" s="90"/>
      <c r="O27" s="108"/>
    </row>
    <row r="28" spans="1:15" ht="15.6" customHeight="1" thickBot="1">
      <c r="A28" s="9"/>
      <c r="B28" s="228" t="s">
        <v>123</v>
      </c>
      <c r="C28" s="229">
        <v>242</v>
      </c>
      <c r="D28" s="230" t="s">
        <v>126</v>
      </c>
      <c r="E28" s="206">
        <v>205</v>
      </c>
      <c r="F28" s="210" t="s">
        <v>122</v>
      </c>
      <c r="G28" s="209">
        <v>78</v>
      </c>
      <c r="H28" s="90"/>
      <c r="I28" s="89"/>
      <c r="J28" s="90"/>
      <c r="K28" s="89"/>
      <c r="L28" s="90"/>
      <c r="M28" s="89"/>
      <c r="N28" s="90"/>
      <c r="O28" s="108"/>
    </row>
    <row r="29" spans="1:15" ht="15.75" customHeight="1" thickBot="1">
      <c r="A29" s="10"/>
      <c r="B29" s="23" t="s">
        <v>3</v>
      </c>
      <c r="C29" s="101">
        <f>SUM(C22:C28)</f>
        <v>1082</v>
      </c>
      <c r="D29" s="21" t="s">
        <v>3</v>
      </c>
      <c r="E29" s="22">
        <f>SUM(E22:E28)</f>
        <v>963</v>
      </c>
      <c r="F29" s="37" t="s">
        <v>3</v>
      </c>
      <c r="G29" s="22">
        <f>SUM(G22:G28)</f>
        <v>779</v>
      </c>
      <c r="H29" s="95"/>
      <c r="I29" s="96"/>
      <c r="J29" s="95"/>
      <c r="K29" s="96"/>
      <c r="L29" s="95"/>
      <c r="M29" s="96"/>
      <c r="N29" s="95"/>
      <c r="O29" s="109"/>
    </row>
    <row r="30" spans="1:15" ht="16.5" customHeight="1">
      <c r="A30" s="7"/>
      <c r="B30" s="98"/>
      <c r="C30" s="97"/>
      <c r="D30" s="93"/>
      <c r="E30" s="97"/>
      <c r="F30" s="93"/>
      <c r="G30" s="43"/>
      <c r="H30" s="42"/>
      <c r="I30" s="43"/>
      <c r="J30" s="42"/>
      <c r="K30" s="43"/>
      <c r="L30" s="42"/>
      <c r="M30" s="43"/>
      <c r="N30" s="42"/>
      <c r="O30" s="52"/>
    </row>
    <row r="31" spans="1:15" ht="15.6" customHeight="1">
      <c r="A31" s="7"/>
      <c r="B31" s="87"/>
      <c r="C31" s="45"/>
      <c r="D31" s="44"/>
      <c r="E31" s="45"/>
      <c r="F31" s="44"/>
      <c r="G31" s="45"/>
      <c r="H31" s="44"/>
      <c r="I31" s="45"/>
      <c r="J31" s="44"/>
      <c r="K31" s="45"/>
      <c r="L31" s="44"/>
      <c r="M31" s="45"/>
      <c r="N31" s="44"/>
      <c r="O31" s="53"/>
    </row>
    <row r="32" spans="1:15" ht="15" customHeight="1" thickBot="1">
      <c r="A32" s="7"/>
      <c r="B32" s="110"/>
      <c r="C32" s="111"/>
      <c r="D32" s="112"/>
      <c r="E32" s="111"/>
      <c r="F32" s="112"/>
      <c r="G32" s="111"/>
      <c r="H32" s="112"/>
      <c r="I32" s="111"/>
      <c r="J32" s="112"/>
      <c r="K32" s="111"/>
      <c r="L32" s="112"/>
      <c r="M32" s="111"/>
      <c r="N32" s="112"/>
      <c r="O32" s="113"/>
    </row>
    <row r="33" spans="1:15" ht="31.5" customHeight="1" thickBot="1">
      <c r="A33" s="7"/>
      <c r="B33" s="272" t="s">
        <v>22</v>
      </c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4"/>
    </row>
    <row r="34" spans="1:15" ht="14.45" customHeight="1">
      <c r="B34" s="231" t="s">
        <v>4</v>
      </c>
      <c r="C34" s="232"/>
      <c r="D34" s="233"/>
      <c r="E34" s="232"/>
      <c r="F34" s="233"/>
      <c r="G34" s="232"/>
      <c r="H34" s="234" t="s">
        <v>5</v>
      </c>
      <c r="I34" s="232"/>
      <c r="J34" s="233"/>
      <c r="K34" s="232"/>
      <c r="L34" s="234" t="s">
        <v>6</v>
      </c>
      <c r="M34" s="232"/>
      <c r="N34" s="233"/>
      <c r="O34" s="235"/>
    </row>
    <row r="35" spans="1:15" ht="14.45" customHeight="1">
      <c r="B35" s="236" t="s">
        <v>7</v>
      </c>
      <c r="C35" s="237"/>
      <c r="D35" s="238"/>
      <c r="E35" s="237"/>
      <c r="F35" s="239"/>
      <c r="G35" s="237"/>
      <c r="H35" s="240" t="s">
        <v>8</v>
      </c>
      <c r="I35" s="237"/>
      <c r="J35" s="238"/>
      <c r="K35" s="237"/>
      <c r="L35" s="240" t="s">
        <v>9</v>
      </c>
      <c r="M35" s="237"/>
      <c r="N35" s="238"/>
      <c r="O35" s="241"/>
    </row>
    <row r="36" spans="1:15" ht="14.45" customHeight="1">
      <c r="B36" s="236" t="s">
        <v>10</v>
      </c>
      <c r="C36" s="237"/>
      <c r="D36" s="238"/>
      <c r="E36" s="237"/>
      <c r="F36" s="242"/>
      <c r="G36" s="237"/>
      <c r="H36" s="240" t="s">
        <v>11</v>
      </c>
      <c r="I36" s="237"/>
      <c r="J36" s="238"/>
      <c r="K36" s="237"/>
      <c r="L36" s="240" t="s">
        <v>12</v>
      </c>
      <c r="M36" s="237"/>
      <c r="N36" s="238"/>
      <c r="O36" s="241"/>
    </row>
    <row r="37" spans="1:15" ht="14.45" customHeight="1">
      <c r="B37" s="236" t="s">
        <v>13</v>
      </c>
      <c r="C37" s="237"/>
      <c r="D37" s="238"/>
      <c r="E37" s="237"/>
      <c r="F37" s="238"/>
      <c r="G37" s="237"/>
      <c r="H37" s="240" t="s">
        <v>14</v>
      </c>
      <c r="I37" s="237"/>
      <c r="J37" s="238"/>
      <c r="K37" s="237"/>
      <c r="L37" s="240" t="s">
        <v>15</v>
      </c>
      <c r="M37" s="237"/>
      <c r="N37" s="238"/>
      <c r="O37" s="241"/>
    </row>
    <row r="38" spans="1:15" ht="14.45" customHeight="1" thickBot="1">
      <c r="B38" s="243" t="s">
        <v>16</v>
      </c>
      <c r="C38" s="244"/>
      <c r="D38" s="245"/>
      <c r="E38" s="246"/>
      <c r="F38" s="245"/>
      <c r="G38" s="246"/>
      <c r="H38" s="247" t="s">
        <v>17</v>
      </c>
      <c r="I38" s="246"/>
      <c r="J38" s="245"/>
      <c r="K38" s="246"/>
      <c r="L38" s="245"/>
      <c r="M38" s="246"/>
      <c r="N38" s="245"/>
      <c r="O38" s="248"/>
    </row>
    <row r="39" spans="1:15" ht="21" customHeight="1" thickBot="1">
      <c r="B39" s="275" t="s">
        <v>18</v>
      </c>
      <c r="C39" s="276"/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7"/>
    </row>
  </sheetData>
  <mergeCells count="3">
    <mergeCell ref="B1:O1"/>
    <mergeCell ref="B33:O33"/>
    <mergeCell ref="B39:O39"/>
  </mergeCells>
  <pageMargins left="0.11811000000000001" right="0.11811000000000001" top="0.15748000000000001" bottom="0.15748000000000001" header="0.31496099999999999" footer="0.31496099999999999"/>
  <pageSetup paperSize="8" scale="63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Administrator</cp:lastModifiedBy>
  <cp:lastPrinted>2026-09-01T08:26:10Z</cp:lastPrinted>
  <dcterms:created xsi:type="dcterms:W3CDTF">2024-01-18T09:07:00Z</dcterms:created>
  <dcterms:modified xsi:type="dcterms:W3CDTF">2026-09-08T22:57:45Z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