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635"/>
  </bookViews>
  <sheets>
    <sheet name="AKŞAM MENÜ" sheetId="1" r:id="rId1"/>
    <sheet name="KAHVALTI" sheetId="4" r:id="rId2"/>
  </sheets>
  <definedNames>
    <definedName name="_xlnm.Print_Area" localSheetId="0">'AKŞAM MENÜ'!$A$1:$AB$63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5" i="1" l="1"/>
  <c r="O47" i="4" l="1"/>
  <c r="M47" i="4"/>
  <c r="K47" i="4"/>
  <c r="AB45" i="1" l="1"/>
  <c r="Z45" i="1"/>
  <c r="X45" i="1"/>
  <c r="V45" i="1"/>
  <c r="T45" i="1"/>
  <c r="R45" i="1"/>
  <c r="I47" i="4"/>
  <c r="P45" i="1"/>
  <c r="N45" i="1"/>
  <c r="G47" i="4" l="1"/>
  <c r="E47" i="4"/>
  <c r="C47" i="4"/>
  <c r="O38" i="4"/>
  <c r="M38" i="4"/>
  <c r="K38" i="4"/>
  <c r="I38" i="4"/>
  <c r="G38" i="4"/>
  <c r="E38" i="4"/>
  <c r="C38" i="4"/>
  <c r="O29" i="4"/>
  <c r="M29" i="4"/>
  <c r="K29" i="4"/>
  <c r="I29" i="4"/>
  <c r="G29" i="4"/>
  <c r="E29" i="4"/>
  <c r="C29" i="4"/>
  <c r="O20" i="4"/>
  <c r="M20" i="4"/>
  <c r="K20" i="4"/>
  <c r="I20" i="4"/>
  <c r="G20" i="4"/>
  <c r="E20" i="4"/>
  <c r="C20" i="4"/>
  <c r="O11" i="4"/>
  <c r="M11" i="4"/>
  <c r="K11" i="4"/>
  <c r="T9" i="1" l="1"/>
  <c r="R9" i="1"/>
  <c r="L18" i="1"/>
  <c r="J18" i="1"/>
  <c r="B18" i="1" l="1"/>
  <c r="F18" i="1"/>
  <c r="AB9" i="1" l="1"/>
  <c r="Z9" i="1"/>
  <c r="X9" i="1"/>
  <c r="V9" i="1"/>
  <c r="AB18" i="1"/>
  <c r="Z18" i="1"/>
  <c r="X18" i="1"/>
  <c r="V18" i="1"/>
  <c r="T18" i="1"/>
  <c r="R18" i="1"/>
  <c r="P18" i="1"/>
  <c r="N18" i="1"/>
  <c r="H18" i="1"/>
  <c r="D18" i="1"/>
  <c r="L45" i="1"/>
  <c r="H45" i="1"/>
  <c r="F45" i="1"/>
  <c r="D45" i="1"/>
  <c r="B45" i="1"/>
  <c r="AB36" i="1"/>
  <c r="Z36" i="1"/>
  <c r="X36" i="1"/>
  <c r="V36" i="1"/>
  <c r="T36" i="1"/>
  <c r="R36" i="1"/>
  <c r="P36" i="1"/>
  <c r="N36" i="1"/>
  <c r="L36" i="1"/>
  <c r="J36" i="1"/>
  <c r="H36" i="1"/>
  <c r="F36" i="1"/>
  <c r="D36" i="1"/>
  <c r="B36" i="1"/>
  <c r="AB27" i="1"/>
  <c r="Z27" i="1"/>
  <c r="X27" i="1"/>
  <c r="V27" i="1"/>
  <c r="T27" i="1"/>
  <c r="R27" i="1"/>
  <c r="P27" i="1"/>
  <c r="N27" i="1"/>
  <c r="L27" i="1"/>
  <c r="J27" i="1"/>
  <c r="H27" i="1"/>
  <c r="F27" i="1"/>
  <c r="D27" i="1"/>
  <c r="B27" i="1"/>
</calcChain>
</file>

<file path=xl/sharedStrings.xml><?xml version="1.0" encoding="utf-8"?>
<sst xmlns="http://schemas.openxmlformats.org/spreadsheetml/2006/main" count="841" uniqueCount="228">
  <si>
    <t>MENÜ</t>
  </si>
  <si>
    <t>KAL</t>
  </si>
  <si>
    <t>SALATBAR</t>
  </si>
  <si>
    <t>TOPLAM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</si>
  <si>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</si>
  <si>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</si>
  <si>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</si>
  <si>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</si>
  <si>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</si>
  <si>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</si>
  <si>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</si>
  <si>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</si>
  <si>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</si>
  <si>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</si>
  <si>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</si>
  <si>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</si>
  <si>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</si>
  <si>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</si>
  <si>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</si>
  <si>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</si>
  <si>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SİYAH ZEYTİN/YEŞİL ZEYTİN</t>
  </si>
  <si>
    <t>DOMATES/SALATALIK</t>
  </si>
  <si>
    <t>ALERJEN UYARILARI</t>
  </si>
  <si>
    <t>KARIŞIK TURŞU (12)</t>
  </si>
  <si>
    <t>YOĞURT (4)</t>
  </si>
  <si>
    <t>KAŞIK SALATA</t>
  </si>
  <si>
    <t>MENEMEN (3)</t>
  </si>
  <si>
    <t>EZOGELİN ÇORBA (1,8)</t>
  </si>
  <si>
    <t>MAYDANOZLU KÖZLENMİŞ KIRMIZI BİBER SALATASI (12)</t>
  </si>
  <si>
    <t>SU BÖREĞİ(1,3,4)</t>
  </si>
  <si>
    <t>KÖZ SOGAN SALATASI</t>
  </si>
  <si>
    <t>PATATES SALATASI (1,12)</t>
  </si>
  <si>
    <t>AMERİKAN SALATASI (1,3,4,8,12)</t>
  </si>
  <si>
    <t>1 - GLUTEN İÇEREN TAHILLAR VE BUNLARIN ÜRÜNLERİ</t>
  </si>
  <si>
    <t>6 - HARDAL VE HARDAL ÜRÜNLERİ</t>
  </si>
  <si>
    <t>11 - SERT KABUKLU KURU YEMİŞLER VE BUNLARIN ÜRÜNLERİ</t>
  </si>
  <si>
    <t>PANCAR TURŞUSU (12)</t>
  </si>
  <si>
    <t>GAZLI İÇECEK</t>
  </si>
  <si>
    <t>ÇOBAN SALATASI</t>
  </si>
  <si>
    <t>SÖĞÜŞ DİLİM DOMATES</t>
  </si>
  <si>
    <t>MISIRLI YEŞİL ZEYTİN SALATASI</t>
  </si>
  <si>
    <t>AYRAN (4)</t>
  </si>
  <si>
    <t>MEYVE (ELMA)</t>
  </si>
  <si>
    <t>SUMAKLI SOĞAN</t>
  </si>
  <si>
    <t>TEL ŞEHRİYELİ PİRİNÇ PİLAVI (1)</t>
  </si>
  <si>
    <t>DÜĞÜN ÇORBA (1,3,4,8)</t>
  </si>
  <si>
    <t>CACIK (4)</t>
  </si>
  <si>
    <t>KIRMIZI LAHANA(12)</t>
  </si>
  <si>
    <t>MERCİMEK ÇORBASI (1,8)</t>
  </si>
  <si>
    <t>HAYDARİ (4)</t>
  </si>
  <si>
    <t>HUMUS (1,8,14)</t>
  </si>
  <si>
    <t>DOMATES ÇORBASI (1,4)</t>
  </si>
  <si>
    <t>ETLİ NOHUT  (1,8)</t>
  </si>
  <si>
    <t>SADE PİRİNÇ PİLAVI (1)</t>
  </si>
  <si>
    <t>DOM.SOSLU KARIŞIK KIZART. (BİBER-PATATES) (1)</t>
  </si>
  <si>
    <t>Z.YAĞLI BARBUNYA (1,8)</t>
  </si>
  <si>
    <t>ŞAKŞUKA</t>
  </si>
  <si>
    <t>DOM. SOSLU PATATES KIZARTMASI (1)</t>
  </si>
  <si>
    <t>KAKAOLU FINDIK EZMESİ (1,4,8,11)</t>
  </si>
  <si>
    <t>ARPACIK SOĞANLI TAVUK YAHNİ (1,3,4,8)</t>
  </si>
  <si>
    <t>HAVUÇ DİLİM BAKLAVA  (1,3,4,7,8,11)</t>
  </si>
  <si>
    <t>MISIR ÇORBASI (1,4)</t>
  </si>
  <si>
    <t>SÜTLÜ TATLI (1,3,4)</t>
  </si>
  <si>
    <t>MAYDANOZLU KÖZLENMİŞ PATLICAN SALATASI (12)</t>
  </si>
  <si>
    <t>TAVUK HAŞLAMA (1,3,4,8)</t>
  </si>
  <si>
    <t>ENGİNAR SALATASI (1,7,8,10,11,12)</t>
  </si>
  <si>
    <t>MEYVE (ÇİLEK)</t>
  </si>
  <si>
    <t>KREM PEYNİR (4)</t>
  </si>
  <si>
    <t>KAŞAR PEYNİR (4)</t>
  </si>
  <si>
    <t>TAHİN PEKMEZ (14)</t>
  </si>
  <si>
    <t>ÇİLEK REÇELİ (12)</t>
  </si>
  <si>
    <t>TEREYAĞ(4)</t>
  </si>
  <si>
    <t>HAŞLANMIŞ YUMURTA (3)</t>
  </si>
  <si>
    <t>SİMİT (1,3,4,14)</t>
  </si>
  <si>
    <t>SUCUKLU YUMURTA (3)</t>
  </si>
  <si>
    <t>BAL</t>
  </si>
  <si>
    <t>POĞAÇA(1,3,4,14)</t>
  </si>
  <si>
    <t>SALAM</t>
  </si>
  <si>
    <t>SADE OMLET (3)</t>
  </si>
  <si>
    <t>BEYAZ   PEYNİR(4)</t>
  </si>
  <si>
    <t>ŞÖBİYET (1,3,4,7,8,11)</t>
  </si>
  <si>
    <t>MEYVE (ARMUT)</t>
  </si>
  <si>
    <t>BEYAZ LAHANA TURŞUSU (12)</t>
  </si>
  <si>
    <t>DEREOTLU MISIRLI YEŞİL ZEYTİN SALATASI</t>
  </si>
  <si>
    <t>EZME (1,3,4,6,7,11,12,14)</t>
  </si>
  <si>
    <t>PİYAZ (1)</t>
  </si>
  <si>
    <t>SOĞUK ÇAY</t>
  </si>
  <si>
    <t>ÇITIR KARNABAHAR (1,3,4)</t>
  </si>
  <si>
    <t>CEVİZLİ ERİŞTE KAVURMA (1,3,4,11)</t>
  </si>
  <si>
    <t>KURU CACIK (4)</t>
  </si>
  <si>
    <t>MEYVE (MUZ)</t>
  </si>
  <si>
    <t>BİBER KIZARTMASI</t>
  </si>
  <si>
    <t>TAZE FASULYE (8)</t>
  </si>
  <si>
    <t>GAVURDAĞI SALATASI (7,11)</t>
  </si>
  <si>
    <t>LİMONATA</t>
  </si>
  <si>
    <t>KARIŞIK SALATA(KIRMIZI LAHANA-HAVUÇ) (12)</t>
  </si>
  <si>
    <t>DEREOTLU YOĞURT SALATASI (3,4)</t>
  </si>
  <si>
    <t>MANTAR SOSLU BİFTEK / PATATES PÜRESİ (1,2,3,4,13)</t>
  </si>
  <si>
    <t>BELEN TAVA</t>
  </si>
  <si>
    <t>MANTI (1,3,4)</t>
  </si>
  <si>
    <t>Z.YAĞLI KABAK KALYE (1)</t>
  </si>
  <si>
    <t>NAPOLİTEN SOSLU SPAGETTİ (1,3,4)</t>
  </si>
  <si>
    <t>Z.YAĞLI BROKOLİ SALATASI (1,3,4,8,14)</t>
  </si>
  <si>
    <t>PATATES HAŞLAMA (1,12)</t>
  </si>
  <si>
    <t>ŞEHRİYE ÇORBASI (1)</t>
  </si>
  <si>
    <t>CEVİZLİ BAKLAVA (1,3,4,7,8,11)</t>
  </si>
  <si>
    <t>01.05.2026 Cuma</t>
  </si>
  <si>
    <t>04.05.2026 Pazartesi</t>
  </si>
  <si>
    <t>11.05.2026 Pazartesi</t>
  </si>
  <si>
    <t>18.05.2026 Pazartesi</t>
  </si>
  <si>
    <t>25.05.2026 Pazartesi</t>
  </si>
  <si>
    <t>SULU KÖFTE (1,3,4,8)</t>
  </si>
  <si>
    <t>MÜCVER (1,3)</t>
  </si>
  <si>
    <t>KIRMIZI LAHANA (12)</t>
  </si>
  <si>
    <t>DOM.SOSLU BİBER KIZART.</t>
  </si>
  <si>
    <t>Z.YAĞLI TAZE FASULYE (1,8)</t>
  </si>
  <si>
    <t>PİYAZ (1,3,8,14)</t>
  </si>
  <si>
    <t>12.05.2026 Salı</t>
  </si>
  <si>
    <t>13.05.2026 Çarşamba</t>
  </si>
  <si>
    <t>14.05.2026 Perşembe</t>
  </si>
  <si>
    <t>15.05.2026 Cuma</t>
  </si>
  <si>
    <t>16.05.2026 Cumartesi</t>
  </si>
  <si>
    <t>17.05.2026 Pazar</t>
  </si>
  <si>
    <t>26.05.2026 Salı</t>
  </si>
  <si>
    <t>27.05.2026 Çarşamba</t>
  </si>
  <si>
    <t>28.05.2026 Perşembe</t>
  </si>
  <si>
    <t>29.05.2026 Cuma</t>
  </si>
  <si>
    <t>30.05.2026 Cumartesi</t>
  </si>
  <si>
    <t>31.05.2026 Pazar</t>
  </si>
  <si>
    <t>05.05.2026 Salı</t>
  </si>
  <si>
    <t>06.05.2026 Çarşamba</t>
  </si>
  <si>
    <t>07.05.2026 Perşembe</t>
  </si>
  <si>
    <t>08.05.2026 Cuma</t>
  </si>
  <si>
    <t>09.05.2026 Cumartesi</t>
  </si>
  <si>
    <t>10.05.2026 Pazar</t>
  </si>
  <si>
    <t>02.05.2026 Cumartesi</t>
  </si>
  <si>
    <t>03.05.2026 Pazar</t>
  </si>
  <si>
    <t>PATLICAN MUSAKKA (1,4)</t>
  </si>
  <si>
    <t>FIRINDA GARNİTÜRLÜ TAVUK (8)</t>
  </si>
  <si>
    <t>TAS KEBAP (1,8)</t>
  </si>
  <si>
    <t>PİDELİ KÖFTE IZGARA (1,3,4)</t>
  </si>
  <si>
    <t>KARIŞIK KIZART. (BİBER-PATATES) (1)</t>
  </si>
  <si>
    <t>GEMİCİ USULÜ KURU FASULYE (1,8)</t>
  </si>
  <si>
    <t>BÖRÜLCE SALATASI (1,8,12)</t>
  </si>
  <si>
    <t xml:space="preserve"> MAKARNA SALATASI (1,3,4,8,12)</t>
  </si>
  <si>
    <t>İSKENDER (1,3,4)</t>
  </si>
  <si>
    <t>YEŞİL VE KAPYA BİBERLİ TAVUK SOTE</t>
  </si>
  <si>
    <t>HÜNKAR BEĞENDİ (1,3,4,7,11)</t>
  </si>
  <si>
    <t>Z.YAĞLI ORBİT FASULYE (1,8)</t>
  </si>
  <si>
    <t>FINDIKLI KEMALPAŞA TATLISI / KAYMAK (1,3,4,7,11,12,14)</t>
  </si>
  <si>
    <t xml:space="preserve">ARPACIK SOĞANLI ÇOBAN KAVURMA / FIRINDA KÜP PATATES </t>
  </si>
  <si>
    <t>FISTIKLI BAKLAVA (1,3,4,7,8,11)</t>
  </si>
  <si>
    <t xml:space="preserve">GAZLI İÇECEK (KOLA) </t>
  </si>
  <si>
    <t>TERBİYELİ KÖFTE (1,3,4,8)</t>
  </si>
  <si>
    <t>VİŞNELİ YAPRAK SARMA (1,7,8,10,11,12,14)</t>
  </si>
  <si>
    <t xml:space="preserve"> MENGEN ÇORBASI (1,3,4,8)</t>
  </si>
  <si>
    <t>FESLEĞEN SOSLU MAKARNA (1,3,4)</t>
  </si>
  <si>
    <t>SEBZELİ TÜRLÜ (8)</t>
  </si>
  <si>
    <t>07.05..2026 Perşembe</t>
  </si>
  <si>
    <t>19.05.2026 Salı</t>
  </si>
  <si>
    <t xml:space="preserve">20.05.2026 Çarşamba </t>
  </si>
  <si>
    <t>21.05.2026 Perşembe</t>
  </si>
  <si>
    <t>22.05.2026 Cuma</t>
  </si>
  <si>
    <t>23.05.2026 Cumartesi</t>
  </si>
  <si>
    <t>24.05.2026 Pazar</t>
  </si>
  <si>
    <t>PAT. HAVUÇLU BEZELYE YEMEĞİ (1,3,4,8)</t>
  </si>
  <si>
    <t>PEMBE SULTAN (4,12)</t>
  </si>
  <si>
    <t>ŞEKERPARE (1,3,7,8,11)</t>
  </si>
  <si>
    <t>KROTONLU ÇORBA (1,3,4)</t>
  </si>
  <si>
    <t>NOHUTLU PİRİNÇ PİLAVI (1,8)</t>
  </si>
  <si>
    <t>KARIŞIK KIZARTMA (PATLICAN-KABAK)</t>
  </si>
  <si>
    <t>YOĞURTLU BİBER BORANİ (4)</t>
  </si>
  <si>
    <t>SARAY SARMASI(1,3,4,7,8,11)</t>
  </si>
  <si>
    <t>KABAK TARATOR (4)</t>
  </si>
  <si>
    <t>ARPA ŞEHRİYELİ PİRİNÇ PİLAVI (1)</t>
  </si>
  <si>
    <t>MEYVE (ERİK)</t>
  </si>
  <si>
    <t>FESLEĞEN SOSLU SPAGETTİ (1,3,4)</t>
  </si>
  <si>
    <t>KADAYIF (1,3,4,11)</t>
  </si>
  <si>
    <t>NAPOLİTEN SOSLU MAKARNA (1,3,4)</t>
  </si>
  <si>
    <t>MISIRLI PİRİNÇ PİLAVI (1)</t>
  </si>
  <si>
    <t>ÖRGÜ PEYNİR (4)</t>
  </si>
  <si>
    <t>VİŞNE REÇELİ (12)</t>
  </si>
  <si>
    <t>PEYNİRLİ OMLET (3,4)</t>
  </si>
  <si>
    <t>PATATES KIZARTMASI (1)</t>
  </si>
  <si>
    <t>LABNE PEYNİR (4)</t>
  </si>
  <si>
    <t>HELVA(1,4,14)</t>
  </si>
  <si>
    <t>AÇMA (1,3,4,14)</t>
  </si>
  <si>
    <t>PEYNİRLİ KALEM BÖREK(1,3,4)</t>
  </si>
  <si>
    <t>KAŞARLI OMLET (3,4)</t>
  </si>
  <si>
    <t>PEYNİRLİ GÜL BÖREĞİ (1,3,4,14)</t>
  </si>
  <si>
    <t>ISPANAKLI GÜL BÖREĞİ (1,3,4,14)</t>
  </si>
  <si>
    <t>AŞÇIBAŞI ÇORBASI (1,3,4)</t>
  </si>
  <si>
    <t>ET DÖNER / PATATES KROKET (1,4)</t>
  </si>
  <si>
    <t>20.05.2026 Çarşamba</t>
  </si>
  <si>
    <t>ARAP TAVA (1)</t>
  </si>
  <si>
    <t>SADE KUSKUS MAKARNA (1)</t>
  </si>
  <si>
    <t>YEŞİL MERCİMEK SALATASI (1,3,4,8,14)</t>
  </si>
  <si>
    <t>KARIŞIK SEBZE ÇORBASI (1,3,4,8,9)</t>
  </si>
  <si>
    <t>HAVUÇLU BEZELYELİ KUSKUS MAKARNA (1,8)</t>
  </si>
  <si>
    <t>KORNİŞON TURŞU (12)</t>
  </si>
  <si>
    <t>Z.YAĞLI ENGİNAR (1,7,8,10,11)</t>
  </si>
  <si>
    <t>KARIŞIK SALATA (KIRMIZI LAHANA-MISIRLI YEŞİL ZEYTİN) (12)</t>
  </si>
  <si>
    <t>GÜL REÇELİ (12)</t>
  </si>
  <si>
    <t>KAYISI REÇELİ (12)</t>
  </si>
  <si>
    <t>ÇEÇİL PEYNİR (4)</t>
  </si>
  <si>
    <t>PATATESLİ KOL BÖREĞİ (1,3,4,14)</t>
  </si>
  <si>
    <t>ISPANAKLI KOL BÖREĞİ (1,3,4,14)</t>
  </si>
  <si>
    <t>İBB ÖĞRENCİ YURTLARI MAYIS AYI KAHVALTI MENÜSÜ</t>
  </si>
  <si>
    <t>İBB ÖĞRENCİ YURTLARI MAYIS AYI AKŞAM YEMEĞİ MENÜSÜ</t>
  </si>
  <si>
    <t xml:space="preserve"> İÇ PİLAV (1,7,8,11,12)</t>
  </si>
  <si>
    <t>MEYVE (YENİ DÜNYA)</t>
  </si>
  <si>
    <t>HAMBURGER / ÇITIR PATATES (1,3,4,8,12,14)</t>
  </si>
  <si>
    <t xml:space="preserve">PATATES PÜRESİ YATAĞINDA MANTARLI ET SOTE </t>
  </si>
  <si>
    <t>BAHÇIVAN KEBABI (1,3,4,8)</t>
  </si>
  <si>
    <t>BROKOLİ HAŞLAMA (1,3,4,12)</t>
  </si>
  <si>
    <t>FALAFEL (1,3,4,8,10,11,12,14)</t>
  </si>
  <si>
    <t xml:space="preserve"> IZGARA TAVUK GÖĞÜS / RENKLİ BİBERLİ MANTAR KAVURMA (1,2,3,4,7,11,13)</t>
  </si>
  <si>
    <t>MEKSİKA FASULYESİ SALATASI /HAŞLANMIŞ KİNOA (1,3,4,8,14)</t>
  </si>
  <si>
    <t>HAVUÇ TARATOR (3,4)</t>
  </si>
  <si>
    <t>ÇERİ DOMATES / AKDENİZ YEŞİLLİĞİ / KUŞ ÜZÜMLÜ KARIŞIK SALATA (BEYAZ LAHANA-HAVUÇ)  (7,8,11,12)</t>
  </si>
  <si>
    <t>Z.YAĞLI KEREVİZ (1,3,4,7,8,9,11,12)</t>
  </si>
  <si>
    <t>Z.YAĞLI AYVALI KEREVİZ (1,3,4,7,8,9,11,12)</t>
  </si>
  <si>
    <t>TAVUK SOTE</t>
  </si>
  <si>
    <t>MANTARLI TAVUK YAHNİ (2,13)</t>
  </si>
  <si>
    <t>MEVSİM TÜRLÜ (8)</t>
  </si>
  <si>
    <t>SADE MAKARNA (1,3,4)</t>
  </si>
  <si>
    <t>JAMBON</t>
  </si>
  <si>
    <t>PATLICAN BEĞENDİ YATAĞINDA TAVUK SOTE  (1,3,4,7,11)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</si>
</sst>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d&quot;, &quot;mmmm&quot; &quot;dd&quot;, &quot;yyyy"/>
  </numFmts>
  <fonts count="35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b/>
      <sz val="24"/>
      <color rgb="FFFF0000"/>
      <name val="Calibri"/>
      <family val="2"/>
      <charset val="162"/>
    </font>
    <font>
      <b/>
      <sz val="28"/>
      <color indexed="12"/>
      <name val="Calibri"/>
      <family val="2"/>
      <charset val="162"/>
    </font>
    <font>
      <b/>
      <sz val="24"/>
      <color indexed="13"/>
      <name val="Calibri"/>
      <family val="2"/>
      <charset val="162"/>
    </font>
    <font>
      <b/>
      <sz val="32"/>
      <color rgb="FFFF0000"/>
      <name val="Calibri"/>
      <family val="2"/>
      <charset val="162"/>
    </font>
    <font>
      <b/>
      <sz val="32"/>
      <color indexed="12"/>
      <name val="Calibri"/>
      <family val="2"/>
      <charset val="162"/>
    </font>
    <font>
      <b/>
      <sz val="20"/>
      <color rgb="FF000000"/>
      <name val="Calibri"/>
      <family val="2"/>
      <charset val="162"/>
    </font>
    <font>
      <b/>
      <sz val="20"/>
      <name val="Calibri"/>
      <family val="2"/>
      <charset val="162"/>
    </font>
    <font>
      <b/>
      <sz val="20"/>
      <color theme="1"/>
      <name val="Calibri"/>
      <family val="2"/>
      <charset val="162"/>
    </font>
    <font>
      <b/>
      <sz val="45"/>
      <color indexed="8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30"/>
      <color rgb="FFFF0000"/>
      <name val="Calibri"/>
      <family val="2"/>
      <charset val="162"/>
    </font>
    <font>
      <b/>
      <sz val="13"/>
      <color indexed="8"/>
      <name val="Calibri"/>
      <family val="2"/>
      <charset val="162"/>
    </font>
    <font>
      <b/>
      <sz val="13"/>
      <color rgb="FFFF0000"/>
      <name val="Calibri"/>
      <family val="2"/>
      <charset val="162"/>
    </font>
    <font>
      <sz val="13"/>
      <color rgb="FFFF0000"/>
      <name val="Calibri"/>
      <family val="2"/>
      <charset val="162"/>
    </font>
    <font>
      <sz val="13"/>
      <color indexed="8"/>
      <name val="Calibri"/>
      <family val="2"/>
      <charset val="162"/>
    </font>
    <font>
      <sz val="20"/>
      <color indexed="8"/>
      <name val="Calibri"/>
      <family val="2"/>
      <charset val="162"/>
    </font>
    <font>
      <sz val="20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DD7F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EF0F9"/>
        <bgColor indexed="64"/>
      </patternFill>
    </fill>
  </fills>
  <borders count="9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indexed="64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 applyNumberFormat="0" applyFill="0" applyBorder="0" applyProtection="0"/>
    <xf numFmtId="0" fontId="13" fillId="0" borderId="0"/>
    <xf numFmtId="0" fontId="12" fillId="0" borderId="0"/>
    <xf numFmtId="0" fontId="13" fillId="0" borderId="0"/>
    <xf numFmtId="0" fontId="1" fillId="0" borderId="0" applyNumberFormat="0" applyFill="0" applyBorder="0" applyProtection="0"/>
  </cellStyleXfs>
  <cellXfs count="334">
    <xf numFmtId="0" fontId="0" fillId="0" borderId="0" xfId="0"/>
    <xf numFmtId="0" fontId="1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0" borderId="1" xfId="4" applyFill="1" applyBorder="1"/>
    <xf numFmtId="0" fontId="1" fillId="0" borderId="8" xfId="4" applyFill="1" applyBorder="1"/>
    <xf numFmtId="0" fontId="15" fillId="0" borderId="8" xfId="4" applyFont="1" applyFill="1" applyBorder="1"/>
    <xf numFmtId="0" fontId="1" fillId="0" borderId="0" xfId="4" applyNumberFormat="1" applyFill="1"/>
    <xf numFmtId="0" fontId="1" fillId="0" borderId="7" xfId="4" applyFill="1" applyBorder="1"/>
    <xf numFmtId="0" fontId="1" fillId="0" borderId="11" xfId="4" applyFill="1" applyBorder="1"/>
    <xf numFmtId="0" fontId="1" fillId="0" borderId="2" xfId="4" applyFill="1" applyBorder="1"/>
    <xf numFmtId="0" fontId="1" fillId="0" borderId="4" xfId="4" applyFill="1" applyBorder="1"/>
    <xf numFmtId="0" fontId="1" fillId="0" borderId="0" xfId="4" applyNumberFormat="1" applyFill="1" applyBorder="1"/>
    <xf numFmtId="0" fontId="15" fillId="0" borderId="0" xfId="4" applyNumberFormat="1" applyFont="1" applyFill="1"/>
    <xf numFmtId="0" fontId="0" fillId="2" borderId="0" xfId="0" applyNumberFormat="1" applyFill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164" fontId="3" fillId="3" borderId="9" xfId="4" applyNumberFormat="1" applyFont="1" applyFill="1" applyBorder="1" applyAlignment="1">
      <alignment horizontal="center" vertical="center"/>
    </xf>
    <xf numFmtId="49" fontId="16" fillId="2" borderId="0" xfId="0" applyNumberFormat="1" applyFont="1" applyFill="1" applyBorder="1" applyAlignment="1">
      <alignment horizontal="center" vertical="center"/>
    </xf>
    <xf numFmtId="0" fontId="4" fillId="2" borderId="17" xfId="4" applyNumberFormat="1" applyFont="1" applyFill="1" applyBorder="1" applyAlignment="1">
      <alignment horizontal="center"/>
    </xf>
    <xf numFmtId="49" fontId="5" fillId="2" borderId="12" xfId="4" applyNumberFormat="1" applyFont="1" applyFill="1" applyBorder="1" applyAlignment="1">
      <alignment horizontal="center" vertical="center"/>
    </xf>
    <xf numFmtId="0" fontId="5" fillId="2" borderId="12" xfId="4" applyNumberFormat="1" applyFont="1" applyFill="1" applyBorder="1" applyAlignment="1">
      <alignment horizontal="center" vertical="center"/>
    </xf>
    <xf numFmtId="1" fontId="5" fillId="2" borderId="12" xfId="4" applyNumberFormat="1" applyFont="1" applyFill="1" applyBorder="1" applyAlignment="1">
      <alignment horizontal="center" vertical="center"/>
    </xf>
    <xf numFmtId="49" fontId="4" fillId="2" borderId="19" xfId="4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49" fontId="6" fillId="2" borderId="0" xfId="4" applyNumberFormat="1" applyFont="1" applyFill="1" applyBorder="1" applyAlignment="1">
      <alignment horizontal="center" vertical="center"/>
    </xf>
    <xf numFmtId="1" fontId="5" fillId="4" borderId="18" xfId="4" applyNumberFormat="1" applyFont="1" applyFill="1" applyBorder="1" applyAlignment="1">
      <alignment horizontal="center" vertical="center"/>
    </xf>
    <xf numFmtId="49" fontId="4" fillId="4" borderId="3" xfId="4" applyNumberFormat="1" applyFont="1" applyFill="1" applyBorder="1" applyAlignment="1">
      <alignment horizontal="left" vertical="center"/>
    </xf>
    <xf numFmtId="1" fontId="5" fillId="4" borderId="3" xfId="4" applyNumberFormat="1" applyFont="1" applyFill="1" applyBorder="1" applyAlignment="1">
      <alignment horizontal="center" vertical="center"/>
    </xf>
    <xf numFmtId="49" fontId="4" fillId="4" borderId="9" xfId="4" applyNumberFormat="1" applyFont="1" applyFill="1" applyBorder="1" applyAlignment="1">
      <alignment horizontal="left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1" fillId="0" borderId="27" xfId="4" applyFill="1" applyBorder="1"/>
    <xf numFmtId="49" fontId="9" fillId="0" borderId="0" xfId="4" applyNumberFormat="1" applyFont="1" applyFill="1" applyBorder="1" applyAlignment="1">
      <alignment horizontal="center" vertical="center" wrapText="1"/>
    </xf>
    <xf numFmtId="49" fontId="16" fillId="2" borderId="12" xfId="0" applyNumberFormat="1" applyFont="1" applyFill="1" applyBorder="1" applyAlignment="1">
      <alignment horizontal="center" vertical="center"/>
    </xf>
    <xf numFmtId="49" fontId="4" fillId="4" borderId="18" xfId="4" applyNumberFormat="1" applyFont="1" applyFill="1" applyBorder="1" applyAlignment="1">
      <alignment horizontal="left" vertical="center"/>
    </xf>
    <xf numFmtId="0" fontId="5" fillId="2" borderId="29" xfId="4" applyNumberFormat="1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49" fontId="4" fillId="4" borderId="10" xfId="4" applyNumberFormat="1" applyFont="1" applyFill="1" applyBorder="1" applyAlignment="1">
      <alignment horizontal="left" vertical="center"/>
    </xf>
    <xf numFmtId="0" fontId="4" fillId="4" borderId="3" xfId="4" applyFont="1" applyFill="1" applyBorder="1" applyAlignment="1">
      <alignment horizontal="left" vertical="center"/>
    </xf>
    <xf numFmtId="0" fontId="4" fillId="4" borderId="10" xfId="4" applyFont="1" applyFill="1" applyBorder="1" applyAlignment="1">
      <alignment horizontal="left" vertical="center"/>
    </xf>
    <xf numFmtId="49" fontId="4" fillId="2" borderId="32" xfId="4" applyNumberFormat="1" applyFont="1" applyFill="1" applyBorder="1" applyAlignment="1">
      <alignment horizontal="center" vertical="center"/>
    </xf>
    <xf numFmtId="1" fontId="5" fillId="4" borderId="3" xfId="4" applyNumberFormat="1" applyFont="1" applyFill="1" applyBorder="1" applyAlignment="1">
      <alignment horizontal="center" vertical="center" wrapText="1"/>
    </xf>
    <xf numFmtId="49" fontId="5" fillId="3" borderId="14" xfId="4" applyNumberFormat="1" applyFont="1" applyFill="1" applyBorder="1" applyAlignment="1">
      <alignment horizontal="center" vertical="center" wrapText="1"/>
    </xf>
    <xf numFmtId="164" fontId="3" fillId="3" borderId="6" xfId="4" applyNumberFormat="1" applyFont="1" applyFill="1" applyBorder="1" applyAlignment="1">
      <alignment horizontal="center" vertical="center"/>
    </xf>
    <xf numFmtId="0" fontId="17" fillId="2" borderId="0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Border="1" applyAlignment="1">
      <alignment horizontal="center" vertical="center" wrapText="1"/>
    </xf>
    <xf numFmtId="0" fontId="17" fillId="2" borderId="0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/>
    </xf>
    <xf numFmtId="0" fontId="9" fillId="2" borderId="0" xfId="4" applyFont="1" applyFill="1" applyBorder="1" applyAlignment="1">
      <alignment horizontal="center" vertical="center"/>
    </xf>
    <xf numFmtId="49" fontId="4" fillId="0" borderId="19" xfId="4" applyNumberFormat="1" applyFont="1" applyFill="1" applyBorder="1" applyAlignment="1">
      <alignment horizontal="center" vertical="center"/>
    </xf>
    <xf numFmtId="164" fontId="3" fillId="3" borderId="14" xfId="4" applyNumberFormat="1" applyFont="1" applyFill="1" applyBorder="1" applyAlignment="1">
      <alignment horizontal="center" vertical="center"/>
    </xf>
    <xf numFmtId="49" fontId="5" fillId="3" borderId="3" xfId="4" applyNumberFormat="1" applyFont="1" applyFill="1" applyBorder="1" applyAlignment="1">
      <alignment horizontal="center" vertical="center"/>
    </xf>
    <xf numFmtId="164" fontId="3" fillId="3" borderId="13" xfId="4" applyNumberFormat="1" applyFont="1" applyFill="1" applyBorder="1" applyAlignment="1">
      <alignment horizontal="center" vertical="center"/>
    </xf>
    <xf numFmtId="164" fontId="3" fillId="3" borderId="3" xfId="4" applyNumberFormat="1" applyFont="1" applyFill="1" applyBorder="1" applyAlignment="1">
      <alignment horizontal="center" vertical="center"/>
    </xf>
    <xf numFmtId="164" fontId="3" fillId="3" borderId="10" xfId="4" applyNumberFormat="1" applyFont="1" applyFill="1" applyBorder="1" applyAlignment="1">
      <alignment horizontal="center" vertical="center"/>
    </xf>
    <xf numFmtId="49" fontId="5" fillId="3" borderId="14" xfId="4" applyNumberFormat="1" applyFont="1" applyFill="1" applyBorder="1" applyAlignment="1">
      <alignment horizontal="center" vertical="center"/>
    </xf>
    <xf numFmtId="49" fontId="9" fillId="2" borderId="16" xfId="4" applyNumberFormat="1" applyFont="1" applyFill="1" applyBorder="1" applyAlignment="1">
      <alignment horizontal="center" vertical="center"/>
    </xf>
    <xf numFmtId="0" fontId="17" fillId="2" borderId="12" xfId="4" applyFont="1" applyFill="1" applyBorder="1" applyAlignment="1">
      <alignment horizontal="center" vertical="center" wrapText="1"/>
    </xf>
    <xf numFmtId="0" fontId="17" fillId="2" borderId="12" xfId="4" applyNumberFormat="1" applyFont="1" applyFill="1" applyBorder="1" applyAlignment="1">
      <alignment horizontal="center" vertical="center"/>
    </xf>
    <xf numFmtId="49" fontId="4" fillId="2" borderId="29" xfId="4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 wrapText="1"/>
    </xf>
    <xf numFmtId="49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164" fontId="3" fillId="2" borderId="16" xfId="4" applyNumberFormat="1" applyFont="1" applyFill="1" applyBorder="1" applyAlignment="1">
      <alignment horizontal="center" vertical="center"/>
    </xf>
    <xf numFmtId="49" fontId="4" fillId="2" borderId="16" xfId="4" applyNumberFormat="1" applyFont="1" applyFill="1" applyBorder="1" applyAlignment="1">
      <alignment horizontal="center" vertical="center"/>
    </xf>
    <xf numFmtId="0" fontId="4" fillId="2" borderId="16" xfId="4" applyNumberFormat="1" applyFont="1" applyFill="1" applyBorder="1" applyAlignment="1">
      <alignment horizontal="center"/>
    </xf>
    <xf numFmtId="49" fontId="10" fillId="2" borderId="0" xfId="4" applyNumberFormat="1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 wrapText="1"/>
    </xf>
    <xf numFmtId="0" fontId="17" fillId="2" borderId="0" xfId="2" applyFont="1" applyFill="1" applyBorder="1" applyAlignment="1">
      <alignment horizontal="center" vertical="center" wrapText="1"/>
    </xf>
    <xf numFmtId="49" fontId="4" fillId="2" borderId="0" xfId="4" applyNumberFormat="1" applyFont="1" applyFill="1" applyBorder="1" applyAlignment="1">
      <alignment horizontal="left" vertical="center"/>
    </xf>
    <xf numFmtId="1" fontId="5" fillId="2" borderId="0" xfId="4" applyNumberFormat="1" applyFont="1" applyFill="1" applyBorder="1" applyAlignment="1">
      <alignment horizontal="center" vertical="center"/>
    </xf>
    <xf numFmtId="49" fontId="4" fillId="2" borderId="16" xfId="4" applyNumberFormat="1" applyFont="1" applyFill="1" applyBorder="1" applyAlignment="1">
      <alignment horizontal="left" vertical="center"/>
    </xf>
    <xf numFmtId="164" fontId="3" fillId="3" borderId="5" xfId="4" applyNumberFormat="1" applyFont="1" applyFill="1" applyBorder="1" applyAlignment="1">
      <alignment horizontal="center" vertical="center"/>
    </xf>
    <xf numFmtId="49" fontId="14" fillId="2" borderId="16" xfId="4" applyNumberFormat="1" applyFont="1" applyFill="1" applyBorder="1" applyAlignment="1">
      <alignment horizontal="center" vertical="center" wrapText="1"/>
    </xf>
    <xf numFmtId="49" fontId="10" fillId="2" borderId="16" xfId="4" applyNumberFormat="1" applyFont="1" applyFill="1" applyBorder="1" applyAlignment="1">
      <alignment horizontal="center" vertical="center" wrapText="1"/>
    </xf>
    <xf numFmtId="49" fontId="9" fillId="2" borderId="16" xfId="4" applyNumberFormat="1" applyFont="1" applyFill="1" applyBorder="1" applyAlignment="1">
      <alignment horizontal="center" vertical="center" wrapText="1"/>
    </xf>
    <xf numFmtId="0" fontId="5" fillId="0" borderId="31" xfId="4" applyNumberFormat="1" applyFont="1" applyFill="1" applyBorder="1" applyAlignment="1">
      <alignment horizontal="center" vertical="center"/>
    </xf>
    <xf numFmtId="3" fontId="5" fillId="0" borderId="31" xfId="4" applyNumberFormat="1" applyFont="1" applyFill="1" applyBorder="1" applyAlignment="1">
      <alignment horizontal="center" vertical="center"/>
    </xf>
    <xf numFmtId="49" fontId="4" fillId="2" borderId="31" xfId="4" applyNumberFormat="1" applyFont="1" applyFill="1" applyBorder="1" applyAlignment="1">
      <alignment horizontal="center" vertical="center"/>
    </xf>
    <xf numFmtId="0" fontId="5" fillId="2" borderId="31" xfId="4" applyNumberFormat="1" applyFont="1" applyFill="1" applyBorder="1" applyAlignment="1">
      <alignment horizontal="center" vertical="center"/>
    </xf>
    <xf numFmtId="49" fontId="20" fillId="2" borderId="28" xfId="0" applyNumberFormat="1" applyFont="1" applyFill="1" applyBorder="1" applyAlignment="1">
      <alignment horizontal="center" vertical="center"/>
    </xf>
    <xf numFmtId="49" fontId="20" fillId="2" borderId="24" xfId="0" applyNumberFormat="1" applyFont="1" applyFill="1" applyBorder="1" applyAlignment="1">
      <alignment horizontal="center" vertical="center"/>
    </xf>
    <xf numFmtId="49" fontId="18" fillId="2" borderId="25" xfId="0" applyNumberFormat="1" applyFont="1" applyFill="1" applyBorder="1" applyAlignment="1">
      <alignment horizontal="center" vertical="center"/>
    </xf>
    <xf numFmtId="49" fontId="20" fillId="2" borderId="25" xfId="0" applyNumberFormat="1" applyFont="1" applyFill="1" applyBorder="1" applyAlignment="1">
      <alignment horizontal="center" vertical="center"/>
    </xf>
    <xf numFmtId="49" fontId="18" fillId="2" borderId="26" xfId="0" applyNumberFormat="1" applyFont="1" applyFill="1" applyBorder="1" applyAlignment="1">
      <alignment horizontal="center" vertical="center"/>
    </xf>
    <xf numFmtId="49" fontId="2" fillId="4" borderId="3" xfId="4" applyNumberFormat="1" applyFont="1" applyFill="1" applyBorder="1" applyAlignment="1">
      <alignment horizontal="center" vertical="center"/>
    </xf>
    <xf numFmtId="0" fontId="16" fillId="4" borderId="10" xfId="4" applyNumberFormat="1" applyFont="1" applyFill="1" applyBorder="1" applyAlignment="1">
      <alignment horizontal="center" vertical="center"/>
    </xf>
    <xf numFmtId="0" fontId="16" fillId="4" borderId="5" xfId="4" applyNumberFormat="1" applyFont="1" applyFill="1" applyBorder="1" applyAlignment="1">
      <alignment horizontal="center" vertical="center"/>
    </xf>
    <xf numFmtId="0" fontId="16" fillId="4" borderId="3" xfId="4" applyNumberFormat="1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horizontal="center" vertical="center" wrapText="1"/>
    </xf>
    <xf numFmtId="49" fontId="2" fillId="4" borderId="5" xfId="4" applyNumberFormat="1" applyFont="1" applyFill="1" applyBorder="1" applyAlignment="1">
      <alignment horizontal="center" vertical="center"/>
    </xf>
    <xf numFmtId="0" fontId="16" fillId="4" borderId="9" xfId="4" applyNumberFormat="1" applyFont="1" applyFill="1" applyBorder="1" applyAlignment="1">
      <alignment horizontal="center" vertical="center"/>
    </xf>
    <xf numFmtId="49" fontId="20" fillId="2" borderId="36" xfId="0" applyNumberFormat="1" applyFont="1" applyFill="1" applyBorder="1" applyAlignment="1">
      <alignment horizontal="center" vertical="center"/>
    </xf>
    <xf numFmtId="49" fontId="18" fillId="2" borderId="38" xfId="0" applyNumberFormat="1" applyFont="1" applyFill="1" applyBorder="1" applyAlignment="1">
      <alignment horizontal="center" vertical="center"/>
    </xf>
    <xf numFmtId="49" fontId="20" fillId="2" borderId="38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0" fontId="2" fillId="2" borderId="36" xfId="4" applyFont="1" applyFill="1" applyBorder="1" applyAlignment="1">
      <alignment horizontal="center" vertical="center"/>
    </xf>
    <xf numFmtId="49" fontId="20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0" fontId="24" fillId="2" borderId="33" xfId="2" applyFont="1" applyFill="1" applyBorder="1" applyAlignment="1">
      <alignment horizontal="center" vertical="center" wrapText="1"/>
    </xf>
    <xf numFmtId="49" fontId="27" fillId="2" borderId="16" xfId="0" applyNumberFormat="1" applyFont="1" applyFill="1" applyBorder="1"/>
    <xf numFmtId="0" fontId="28" fillId="2" borderId="0" xfId="0" applyFont="1" applyFill="1" applyBorder="1" applyAlignment="1">
      <alignment horizontal="center" vertical="center"/>
    </xf>
    <xf numFmtId="0" fontId="27" fillId="2" borderId="0" xfId="0" applyFont="1" applyFill="1" applyBorder="1"/>
    <xf numFmtId="3" fontId="27" fillId="2" borderId="0" xfId="0" applyNumberFormat="1" applyFont="1" applyFill="1" applyBorder="1"/>
    <xf numFmtId="3" fontId="28" fillId="2" borderId="0" xfId="0" applyNumberFormat="1" applyFont="1" applyFill="1" applyBorder="1" applyAlignment="1">
      <alignment horizontal="center" vertical="center"/>
    </xf>
    <xf numFmtId="49" fontId="27" fillId="2" borderId="0" xfId="0" applyNumberFormat="1" applyFont="1" applyFill="1" applyBorder="1"/>
    <xf numFmtId="0" fontId="28" fillId="2" borderId="12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5" fillId="2" borderId="39" xfId="4" applyNumberFormat="1" applyFont="1" applyFill="1" applyBorder="1" applyAlignment="1">
      <alignment horizontal="center" vertical="center"/>
    </xf>
    <xf numFmtId="49" fontId="29" fillId="0" borderId="16" xfId="4" applyNumberFormat="1" applyFont="1" applyFill="1" applyBorder="1"/>
    <xf numFmtId="0" fontId="31" fillId="0" borderId="0" xfId="4" applyFont="1" applyFill="1" applyBorder="1"/>
    <xf numFmtId="0" fontId="32" fillId="0" borderId="0" xfId="4" applyFont="1" applyFill="1" applyBorder="1" applyAlignment="1">
      <alignment horizontal="center"/>
    </xf>
    <xf numFmtId="0" fontId="32" fillId="0" borderId="0" xfId="4" applyNumberFormat="1" applyFont="1" applyFill="1" applyBorder="1" applyAlignment="1"/>
    <xf numFmtId="49" fontId="29" fillId="0" borderId="0" xfId="4" applyNumberFormat="1" applyFont="1" applyFill="1" applyBorder="1"/>
    <xf numFmtId="0" fontId="32" fillId="0" borderId="0" xfId="4" applyFont="1" applyFill="1" applyBorder="1"/>
    <xf numFmtId="0" fontId="31" fillId="0" borderId="12" xfId="4" applyFont="1" applyFill="1" applyBorder="1"/>
    <xf numFmtId="3" fontId="31" fillId="0" borderId="0" xfId="4" applyNumberFormat="1" applyFont="1" applyFill="1" applyBorder="1"/>
    <xf numFmtId="0" fontId="5" fillId="0" borderId="39" xfId="4" applyNumberFormat="1" applyFont="1" applyFill="1" applyBorder="1" applyAlignment="1">
      <alignment horizontal="center" vertical="center"/>
    </xf>
    <xf numFmtId="0" fontId="16" fillId="2" borderId="40" xfId="4" applyNumberFormat="1" applyFont="1" applyFill="1" applyBorder="1" applyAlignment="1">
      <alignment horizontal="center" vertical="center"/>
    </xf>
    <xf numFmtId="49" fontId="20" fillId="2" borderId="41" xfId="0" applyNumberFormat="1" applyFont="1" applyFill="1" applyBorder="1" applyAlignment="1">
      <alignment horizontal="center" vertical="center"/>
    </xf>
    <xf numFmtId="49" fontId="18" fillId="2" borderId="42" xfId="0" applyNumberFormat="1" applyFont="1" applyFill="1" applyBorder="1" applyAlignment="1">
      <alignment horizontal="center" vertical="center"/>
    </xf>
    <xf numFmtId="49" fontId="20" fillId="2" borderId="42" xfId="0" applyNumberFormat="1" applyFont="1" applyFill="1" applyBorder="1" applyAlignment="1">
      <alignment horizontal="center" vertical="center"/>
    </xf>
    <xf numFmtId="49" fontId="18" fillId="2" borderId="43" xfId="0" applyNumberFormat="1" applyFont="1" applyFill="1" applyBorder="1" applyAlignment="1">
      <alignment horizontal="center" vertical="center"/>
    </xf>
    <xf numFmtId="49" fontId="18" fillId="2" borderId="44" xfId="0" applyNumberFormat="1" applyFont="1" applyFill="1" applyBorder="1" applyAlignment="1">
      <alignment horizontal="center" vertical="center"/>
    </xf>
    <xf numFmtId="49" fontId="27" fillId="2" borderId="45" xfId="0" applyNumberFormat="1" applyFont="1" applyFill="1" applyBorder="1"/>
    <xf numFmtId="0" fontId="28" fillId="2" borderId="46" xfId="0" applyFont="1" applyFill="1" applyBorder="1" applyAlignment="1">
      <alignment horizontal="center" vertical="center"/>
    </xf>
    <xf numFmtId="0" fontId="27" fillId="2" borderId="46" xfId="0" applyFont="1" applyFill="1" applyBorder="1"/>
    <xf numFmtId="3" fontId="27" fillId="2" borderId="46" xfId="0" applyNumberFormat="1" applyFont="1" applyFill="1" applyBorder="1"/>
    <xf numFmtId="3" fontId="28" fillId="2" borderId="46" xfId="0" applyNumberFormat="1" applyFont="1" applyFill="1" applyBorder="1" applyAlignment="1">
      <alignment horizontal="center" vertical="center"/>
    </xf>
    <xf numFmtId="49" fontId="27" fillId="2" borderId="46" xfId="0" applyNumberFormat="1" applyFont="1" applyFill="1" applyBorder="1"/>
    <xf numFmtId="0" fontId="28" fillId="2" borderId="47" xfId="0" applyFont="1" applyFill="1" applyBorder="1" applyAlignment="1">
      <alignment horizontal="center" vertical="center"/>
    </xf>
    <xf numFmtId="49" fontId="29" fillId="2" borderId="45" xfId="4" applyNumberFormat="1" applyFont="1" applyFill="1" applyBorder="1" applyAlignment="1">
      <alignment horizontal="left" vertical="center"/>
    </xf>
    <xf numFmtId="1" fontId="30" fillId="2" borderId="46" xfId="4" applyNumberFormat="1" applyFont="1" applyFill="1" applyBorder="1" applyAlignment="1">
      <alignment horizontal="center" vertical="center"/>
    </xf>
    <xf numFmtId="49" fontId="29" fillId="2" borderId="46" xfId="4" applyNumberFormat="1" applyFont="1" applyFill="1" applyBorder="1" applyAlignment="1">
      <alignment horizontal="left" vertical="center"/>
    </xf>
    <xf numFmtId="1" fontId="30" fillId="2" borderId="47" xfId="4" applyNumberFormat="1" applyFont="1" applyFill="1" applyBorder="1" applyAlignment="1">
      <alignment horizontal="center" vertical="center"/>
    </xf>
    <xf numFmtId="49" fontId="2" fillId="4" borderId="18" xfId="4" applyNumberFormat="1" applyFont="1" applyFill="1" applyBorder="1" applyAlignment="1">
      <alignment horizontal="center" vertical="center"/>
    </xf>
    <xf numFmtId="0" fontId="16" fillId="4" borderId="46" xfId="4" applyNumberFormat="1" applyFont="1" applyFill="1" applyBorder="1" applyAlignment="1">
      <alignment horizontal="center" vertical="center"/>
    </xf>
    <xf numFmtId="0" fontId="16" fillId="4" borderId="18" xfId="4" applyNumberFormat="1" applyFont="1" applyFill="1" applyBorder="1" applyAlignment="1">
      <alignment horizontal="center" vertical="center"/>
    </xf>
    <xf numFmtId="49" fontId="2" fillId="2" borderId="0" xfId="4" applyNumberFormat="1" applyFont="1" applyFill="1" applyBorder="1" applyAlignment="1">
      <alignment horizontal="center" vertical="center"/>
    </xf>
    <xf numFmtId="0" fontId="0" fillId="2" borderId="9" xfId="0" applyNumberFormat="1" applyFill="1" applyBorder="1" applyAlignment="1">
      <alignment horizontal="center" vertical="center"/>
    </xf>
    <xf numFmtId="0" fontId="15" fillId="2" borderId="10" xfId="0" applyNumberFormat="1" applyFont="1" applyFill="1" applyBorder="1" applyAlignment="1">
      <alignment horizontal="center" vertical="center"/>
    </xf>
    <xf numFmtId="0" fontId="0" fillId="2" borderId="10" xfId="0" applyNumberForma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49" fontId="4" fillId="0" borderId="50" xfId="4" applyNumberFormat="1" applyFont="1" applyFill="1" applyBorder="1" applyAlignment="1">
      <alignment horizontal="center" vertical="center"/>
    </xf>
    <xf numFmtId="0" fontId="4" fillId="0" borderId="31" xfId="4" applyNumberFormat="1" applyFont="1" applyFill="1" applyBorder="1" applyAlignment="1">
      <alignment horizontal="center"/>
    </xf>
    <xf numFmtId="0" fontId="5" fillId="0" borderId="52" xfId="4" applyNumberFormat="1" applyFont="1" applyFill="1" applyBorder="1" applyAlignment="1">
      <alignment horizontal="center" vertical="center"/>
    </xf>
    <xf numFmtId="49" fontId="4" fillId="0" borderId="53" xfId="4" applyNumberFormat="1" applyFont="1" applyFill="1" applyBorder="1" applyAlignment="1">
      <alignment horizontal="center" vertical="center"/>
    </xf>
    <xf numFmtId="49" fontId="4" fillId="0" borderId="54" xfId="4" applyNumberFormat="1" applyFont="1" applyFill="1" applyBorder="1" applyAlignment="1">
      <alignment horizontal="center" vertical="center"/>
    </xf>
    <xf numFmtId="49" fontId="6" fillId="0" borderId="55" xfId="4" applyNumberFormat="1" applyFont="1" applyFill="1" applyBorder="1" applyAlignment="1">
      <alignment horizontal="center" vertical="center"/>
    </xf>
    <xf numFmtId="49" fontId="4" fillId="0" borderId="56" xfId="4" applyNumberFormat="1" applyFont="1" applyFill="1" applyBorder="1" applyAlignment="1">
      <alignment horizontal="center" vertical="center"/>
    </xf>
    <xf numFmtId="49" fontId="4" fillId="0" borderId="57" xfId="4" applyNumberFormat="1" applyFont="1" applyFill="1" applyBorder="1" applyAlignment="1">
      <alignment horizontal="center" vertical="center"/>
    </xf>
    <xf numFmtId="49" fontId="4" fillId="0" borderId="31" xfId="4" applyNumberFormat="1" applyFont="1" applyFill="1" applyBorder="1" applyAlignment="1">
      <alignment horizontal="center" vertical="center"/>
    </xf>
    <xf numFmtId="0" fontId="4" fillId="0" borderId="50" xfId="4" applyNumberFormat="1" applyFont="1" applyFill="1" applyBorder="1" applyAlignment="1">
      <alignment horizontal="center"/>
    </xf>
    <xf numFmtId="49" fontId="4" fillId="0" borderId="58" xfId="4" applyNumberFormat="1" applyFont="1" applyFill="1" applyBorder="1" applyAlignment="1">
      <alignment horizontal="center" vertical="center"/>
    </xf>
    <xf numFmtId="49" fontId="4" fillId="0" borderId="55" xfId="4" applyNumberFormat="1" applyFont="1" applyFill="1" applyBorder="1" applyAlignment="1">
      <alignment horizontal="center" vertical="center"/>
    </xf>
    <xf numFmtId="49" fontId="4" fillId="2" borderId="56" xfId="4" applyNumberFormat="1" applyFont="1" applyFill="1" applyBorder="1" applyAlignment="1">
      <alignment horizontal="center" vertical="center"/>
    </xf>
    <xf numFmtId="49" fontId="4" fillId="0" borderId="59" xfId="4" applyNumberFormat="1" applyFont="1" applyFill="1" applyBorder="1" applyAlignment="1">
      <alignment horizontal="center" vertical="center"/>
    </xf>
    <xf numFmtId="0" fontId="5" fillId="0" borderId="61" xfId="4" applyNumberFormat="1" applyFont="1" applyFill="1" applyBorder="1" applyAlignment="1">
      <alignment horizontal="center" vertical="center"/>
    </xf>
    <xf numFmtId="0" fontId="4" fillId="2" borderId="49" xfId="4" applyNumberFormat="1" applyFont="1" applyFill="1" applyBorder="1" applyAlignment="1">
      <alignment horizontal="center"/>
    </xf>
    <xf numFmtId="0" fontId="4" fillId="2" borderId="50" xfId="4" applyNumberFormat="1" applyFont="1" applyFill="1" applyBorder="1" applyAlignment="1">
      <alignment horizontal="center"/>
    </xf>
    <xf numFmtId="49" fontId="4" fillId="2" borderId="50" xfId="4" applyNumberFormat="1" applyFont="1" applyFill="1" applyBorder="1" applyAlignment="1">
      <alignment horizontal="center" vertical="center"/>
    </xf>
    <xf numFmtId="49" fontId="4" fillId="2" borderId="49" xfId="4" applyNumberFormat="1" applyFont="1" applyFill="1" applyBorder="1" applyAlignment="1">
      <alignment horizontal="center" vertical="center"/>
    </xf>
    <xf numFmtId="0" fontId="5" fillId="2" borderId="61" xfId="4" applyNumberFormat="1" applyFont="1" applyFill="1" applyBorder="1" applyAlignment="1">
      <alignment horizontal="center" vertical="center"/>
    </xf>
    <xf numFmtId="49" fontId="4" fillId="0" borderId="62" xfId="4" applyNumberFormat="1" applyFont="1" applyFill="1" applyBorder="1" applyAlignment="1">
      <alignment horizontal="center" vertical="center"/>
    </xf>
    <xf numFmtId="49" fontId="4" fillId="0" borderId="63" xfId="4" applyNumberFormat="1" applyFont="1" applyFill="1" applyBorder="1" applyAlignment="1">
      <alignment horizontal="center" vertical="center"/>
    </xf>
    <xf numFmtId="0" fontId="5" fillId="0" borderId="63" xfId="4" applyNumberFormat="1" applyFont="1" applyFill="1" applyBorder="1" applyAlignment="1">
      <alignment horizontal="center" vertical="center"/>
    </xf>
    <xf numFmtId="49" fontId="4" fillId="2" borderId="64" xfId="4" applyNumberFormat="1" applyFont="1" applyFill="1" applyBorder="1" applyAlignment="1">
      <alignment horizontal="center" vertical="center"/>
    </xf>
    <xf numFmtId="49" fontId="4" fillId="0" borderId="64" xfId="4" applyNumberFormat="1" applyFont="1" applyFill="1" applyBorder="1" applyAlignment="1">
      <alignment horizontal="center" vertical="center"/>
    </xf>
    <xf numFmtId="164" fontId="3" fillId="5" borderId="13" xfId="4" applyNumberFormat="1" applyFont="1" applyFill="1" applyBorder="1" applyAlignment="1">
      <alignment horizontal="center" vertical="center"/>
    </xf>
    <xf numFmtId="164" fontId="3" fillId="5" borderId="10" xfId="4" applyNumberFormat="1" applyFont="1" applyFill="1" applyBorder="1" applyAlignment="1">
      <alignment horizontal="center" vertical="center"/>
    </xf>
    <xf numFmtId="49" fontId="4" fillId="2" borderId="53" xfId="4" applyNumberFormat="1" applyFont="1" applyFill="1" applyBorder="1" applyAlignment="1">
      <alignment horizontal="center" vertical="center"/>
    </xf>
    <xf numFmtId="49" fontId="4" fillId="2" borderId="60" xfId="4" applyNumberFormat="1" applyFont="1" applyFill="1" applyBorder="1" applyAlignment="1">
      <alignment horizontal="center" vertical="center"/>
    </xf>
    <xf numFmtId="0" fontId="4" fillId="2" borderId="31" xfId="4" applyNumberFormat="1" applyFont="1" applyFill="1" applyBorder="1" applyAlignment="1">
      <alignment horizontal="center"/>
    </xf>
    <xf numFmtId="49" fontId="4" fillId="2" borderId="33" xfId="4" applyNumberFormat="1" applyFont="1" applyFill="1" applyBorder="1" applyAlignment="1">
      <alignment horizontal="center" vertical="center"/>
    </xf>
    <xf numFmtId="164" fontId="3" fillId="0" borderId="0" xfId="4" applyNumberFormat="1" applyFont="1" applyFill="1" applyBorder="1" applyAlignment="1">
      <alignment horizontal="center" vertical="center"/>
    </xf>
    <xf numFmtId="49" fontId="5" fillId="0" borderId="0" xfId="4" applyNumberFormat="1" applyFont="1" applyFill="1" applyBorder="1" applyAlignment="1">
      <alignment horizontal="center" vertical="center" wrapText="1"/>
    </xf>
    <xf numFmtId="49" fontId="5" fillId="0" borderId="0" xfId="4" applyNumberFormat="1" applyFont="1" applyFill="1" applyBorder="1" applyAlignment="1">
      <alignment horizontal="center" vertical="center"/>
    </xf>
    <xf numFmtId="49" fontId="4" fillId="0" borderId="0" xfId="4" applyNumberFormat="1" applyFont="1" applyFill="1" applyBorder="1" applyAlignment="1">
      <alignment horizontal="center" vertical="center"/>
    </xf>
    <xf numFmtId="0" fontId="5" fillId="0" borderId="0" xfId="4" applyNumberFormat="1" applyFont="1" applyFill="1" applyBorder="1" applyAlignment="1">
      <alignment horizontal="center" vertical="center"/>
    </xf>
    <xf numFmtId="0" fontId="4" fillId="0" borderId="0" xfId="4" applyNumberFormat="1" applyFont="1" applyFill="1" applyBorder="1" applyAlignment="1">
      <alignment horizontal="center"/>
    </xf>
    <xf numFmtId="49" fontId="4" fillId="0" borderId="0" xfId="4" applyNumberFormat="1" applyFont="1" applyFill="1" applyBorder="1" applyAlignment="1">
      <alignment horizontal="left" vertical="center"/>
    </xf>
    <xf numFmtId="1" fontId="5" fillId="0" borderId="0" xfId="4" applyNumberFormat="1" applyFont="1" applyFill="1" applyBorder="1" applyAlignment="1">
      <alignment horizontal="center" vertical="center"/>
    </xf>
    <xf numFmtId="49" fontId="4" fillId="2" borderId="63" xfId="4" applyNumberFormat="1" applyFont="1" applyFill="1" applyBorder="1" applyAlignment="1">
      <alignment horizontal="center" vertical="center"/>
    </xf>
    <xf numFmtId="49" fontId="4" fillId="0" borderId="66" xfId="4" applyNumberFormat="1" applyFont="1" applyFill="1" applyBorder="1" applyAlignment="1">
      <alignment horizontal="center" vertical="center"/>
    </xf>
    <xf numFmtId="164" fontId="3" fillId="0" borderId="16" xfId="4" applyNumberFormat="1" applyFont="1" applyFill="1" applyBorder="1" applyAlignment="1">
      <alignment horizontal="center" vertical="center"/>
    </xf>
    <xf numFmtId="49" fontId="4" fillId="0" borderId="16" xfId="4" applyNumberFormat="1" applyFont="1" applyFill="1" applyBorder="1" applyAlignment="1">
      <alignment horizontal="center" vertical="center"/>
    </xf>
    <xf numFmtId="0" fontId="5" fillId="2" borderId="63" xfId="4" applyNumberFormat="1" applyFont="1" applyFill="1" applyBorder="1" applyAlignment="1">
      <alignment horizontal="center" vertical="center"/>
    </xf>
    <xf numFmtId="0" fontId="4" fillId="0" borderId="16" xfId="4" applyNumberFormat="1" applyFont="1" applyFill="1" applyBorder="1" applyAlignment="1">
      <alignment horizontal="center"/>
    </xf>
    <xf numFmtId="0" fontId="4" fillId="0" borderId="63" xfId="4" applyNumberFormat="1" applyFont="1" applyFill="1" applyBorder="1" applyAlignment="1">
      <alignment horizontal="center"/>
    </xf>
    <xf numFmtId="0" fontId="5" fillId="0" borderId="65" xfId="4" applyNumberFormat="1" applyFont="1" applyFill="1" applyBorder="1" applyAlignment="1">
      <alignment horizontal="center" vertical="center"/>
    </xf>
    <xf numFmtId="49" fontId="4" fillId="0" borderId="67" xfId="4" applyNumberFormat="1" applyFont="1" applyFill="1" applyBorder="1" applyAlignment="1">
      <alignment horizontal="center" vertical="center"/>
    </xf>
    <xf numFmtId="49" fontId="4" fillId="0" borderId="16" xfId="4" applyNumberFormat="1" applyFont="1" applyFill="1" applyBorder="1" applyAlignment="1">
      <alignment horizontal="left" vertical="center"/>
    </xf>
    <xf numFmtId="49" fontId="4" fillId="0" borderId="61" xfId="4" applyNumberFormat="1" applyFont="1" applyFill="1" applyBorder="1" applyAlignment="1">
      <alignment horizontal="center" vertical="center"/>
    </xf>
    <xf numFmtId="0" fontId="5" fillId="0" borderId="68" xfId="4" applyNumberFormat="1" applyFont="1" applyFill="1" applyBorder="1" applyAlignment="1">
      <alignment horizontal="center" vertical="center"/>
    </xf>
    <xf numFmtId="49" fontId="4" fillId="0" borderId="69" xfId="4" applyNumberFormat="1" applyFont="1" applyFill="1" applyBorder="1" applyAlignment="1">
      <alignment horizontal="center" vertical="center"/>
    </xf>
    <xf numFmtId="49" fontId="6" fillId="2" borderId="60" xfId="4" applyNumberFormat="1" applyFont="1" applyFill="1" applyBorder="1" applyAlignment="1">
      <alignment horizontal="center" vertical="center"/>
    </xf>
    <xf numFmtId="49" fontId="4" fillId="2" borderId="69" xfId="4" applyNumberFormat="1" applyFont="1" applyFill="1" applyBorder="1" applyAlignment="1">
      <alignment horizontal="center" vertical="center"/>
    </xf>
    <xf numFmtId="49" fontId="4" fillId="2" borderId="70" xfId="4" applyNumberFormat="1" applyFont="1" applyFill="1" applyBorder="1" applyAlignment="1">
      <alignment horizontal="center" vertical="center"/>
    </xf>
    <xf numFmtId="0" fontId="5" fillId="2" borderId="71" xfId="4" applyNumberFormat="1" applyFont="1" applyFill="1" applyBorder="1" applyAlignment="1">
      <alignment horizontal="center" vertical="center"/>
    </xf>
    <xf numFmtId="0" fontId="4" fillId="0" borderId="72" xfId="4" applyNumberFormat="1" applyFont="1" applyFill="1" applyBorder="1" applyAlignment="1">
      <alignment horizontal="center"/>
    </xf>
    <xf numFmtId="0" fontId="5" fillId="0" borderId="71" xfId="4" applyNumberFormat="1" applyFont="1" applyFill="1" applyBorder="1" applyAlignment="1">
      <alignment horizontal="center" vertical="center"/>
    </xf>
    <xf numFmtId="49" fontId="6" fillId="2" borderId="73" xfId="4" applyNumberFormat="1" applyFont="1" applyFill="1" applyBorder="1" applyAlignment="1">
      <alignment horizontal="center" vertical="center"/>
    </xf>
    <xf numFmtId="49" fontId="4" fillId="2" borderId="62" xfId="4" applyNumberFormat="1" applyFont="1" applyFill="1" applyBorder="1" applyAlignment="1">
      <alignment horizontal="center" vertical="center"/>
    </xf>
    <xf numFmtId="49" fontId="4" fillId="2" borderId="74" xfId="4" applyNumberFormat="1" applyFont="1" applyFill="1" applyBorder="1" applyAlignment="1">
      <alignment horizontal="center" vertical="center"/>
    </xf>
    <xf numFmtId="0" fontId="5" fillId="2" borderId="75" xfId="4" applyNumberFormat="1" applyFont="1" applyFill="1" applyBorder="1" applyAlignment="1">
      <alignment horizontal="center" vertical="center"/>
    </xf>
    <xf numFmtId="49" fontId="4" fillId="0" borderId="76" xfId="4" applyNumberFormat="1" applyFont="1" applyFill="1" applyBorder="1" applyAlignment="1">
      <alignment horizontal="center" vertical="center"/>
    </xf>
    <xf numFmtId="0" fontId="5" fillId="0" borderId="75" xfId="4" applyNumberFormat="1" applyFont="1" applyFill="1" applyBorder="1" applyAlignment="1">
      <alignment horizontal="center" vertical="center"/>
    </xf>
    <xf numFmtId="0" fontId="5" fillId="2" borderId="52" xfId="4" applyNumberFormat="1" applyFont="1" applyFill="1" applyBorder="1" applyAlignment="1">
      <alignment horizontal="center" vertical="center"/>
    </xf>
    <xf numFmtId="49" fontId="4" fillId="0" borderId="77" xfId="4" applyNumberFormat="1" applyFont="1" applyFill="1" applyBorder="1" applyAlignment="1">
      <alignment horizontal="center" vertical="center"/>
    </xf>
    <xf numFmtId="0" fontId="5" fillId="0" borderId="78" xfId="4" applyNumberFormat="1" applyFont="1" applyFill="1" applyBorder="1" applyAlignment="1">
      <alignment horizontal="center" vertical="center"/>
    </xf>
    <xf numFmtId="49" fontId="4" fillId="2" borderId="54" xfId="4" applyNumberFormat="1" applyFont="1" applyFill="1" applyBorder="1" applyAlignment="1">
      <alignment horizontal="center" vertical="center"/>
    </xf>
    <xf numFmtId="49" fontId="4" fillId="0" borderId="79" xfId="4" applyNumberFormat="1" applyFont="1" applyFill="1" applyBorder="1" applyAlignment="1">
      <alignment horizontal="center" vertical="center"/>
    </xf>
    <xf numFmtId="49" fontId="6" fillId="2" borderId="77" xfId="4" applyNumberFormat="1" applyFont="1" applyFill="1" applyBorder="1" applyAlignment="1">
      <alignment horizontal="center" vertical="center"/>
    </xf>
    <xf numFmtId="49" fontId="4" fillId="2" borderId="79" xfId="4" applyNumberFormat="1" applyFont="1" applyFill="1" applyBorder="1" applyAlignment="1">
      <alignment horizontal="center" vertical="center"/>
    </xf>
    <xf numFmtId="49" fontId="4" fillId="0" borderId="80" xfId="4" applyNumberFormat="1" applyFont="1" applyFill="1" applyBorder="1" applyAlignment="1">
      <alignment horizontal="center" vertical="center"/>
    </xf>
    <xf numFmtId="49" fontId="4" fillId="2" borderId="80" xfId="4" applyNumberFormat="1" applyFont="1" applyFill="1" applyBorder="1" applyAlignment="1">
      <alignment horizontal="center" vertical="center"/>
    </xf>
    <xf numFmtId="49" fontId="4" fillId="2" borderId="75" xfId="4" applyNumberFormat="1" applyFont="1" applyFill="1" applyBorder="1" applyAlignment="1">
      <alignment horizontal="center" vertical="center"/>
    </xf>
    <xf numFmtId="0" fontId="5" fillId="2" borderId="81" xfId="4" applyNumberFormat="1" applyFont="1" applyFill="1" applyBorder="1" applyAlignment="1">
      <alignment horizontal="center" vertical="center"/>
    </xf>
    <xf numFmtId="49" fontId="4" fillId="0" borderId="82" xfId="4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center" vertical="center"/>
    </xf>
    <xf numFmtId="0" fontId="16" fillId="0" borderId="0" xfId="4" applyFont="1" applyFill="1" applyBorder="1" applyAlignment="1">
      <alignment horizontal="center" vertical="center" wrapText="1"/>
    </xf>
    <xf numFmtId="49" fontId="2" fillId="0" borderId="0" xfId="4" applyNumberFormat="1" applyFont="1" applyFill="1" applyBorder="1" applyAlignment="1">
      <alignment horizontal="center" vertical="center" wrapText="1"/>
    </xf>
    <xf numFmtId="49" fontId="25" fillId="0" borderId="0" xfId="4" applyNumberFormat="1" applyFont="1" applyFill="1" applyBorder="1" applyAlignment="1">
      <alignment horizontal="center" vertical="center" wrapText="1"/>
    </xf>
    <xf numFmtId="0" fontId="16" fillId="0" borderId="0" xfId="4" applyNumberFormat="1" applyFont="1" applyFill="1" applyBorder="1" applyAlignment="1">
      <alignment horizontal="center" vertical="center"/>
    </xf>
    <xf numFmtId="0" fontId="24" fillId="0" borderId="0" xfId="2" applyFont="1" applyFill="1" applyBorder="1" applyAlignment="1">
      <alignment horizontal="center" vertical="center" wrapText="1"/>
    </xf>
    <xf numFmtId="0" fontId="16" fillId="0" borderId="0" xfId="2" applyFont="1" applyFill="1" applyBorder="1" applyAlignment="1">
      <alignment horizontal="center" vertical="center" wrapText="1"/>
    </xf>
    <xf numFmtId="49" fontId="2" fillId="0" borderId="0" xfId="4" applyNumberFormat="1" applyFont="1" applyFill="1" applyBorder="1" applyAlignment="1">
      <alignment horizontal="center" vertical="center"/>
    </xf>
    <xf numFmtId="0" fontId="2" fillId="2" borderId="83" xfId="4" applyFont="1" applyFill="1" applyBorder="1" applyAlignment="1">
      <alignment horizontal="center" vertical="center"/>
    </xf>
    <xf numFmtId="0" fontId="16" fillId="2" borderId="84" xfId="4" applyFont="1" applyFill="1" applyBorder="1" applyAlignment="1">
      <alignment horizontal="center" vertical="center" wrapText="1"/>
    </xf>
    <xf numFmtId="49" fontId="2" fillId="2" borderId="84" xfId="4" applyNumberFormat="1" applyFont="1" applyFill="1" applyBorder="1" applyAlignment="1">
      <alignment horizontal="center" vertical="center" wrapText="1"/>
    </xf>
    <xf numFmtId="0" fontId="16" fillId="2" borderId="85" xfId="4" applyFont="1" applyFill="1" applyBorder="1" applyAlignment="1">
      <alignment horizontal="center" vertical="center" wrapText="1"/>
    </xf>
    <xf numFmtId="164" fontId="3" fillId="5" borderId="14" xfId="4" applyNumberFormat="1" applyFont="1" applyFill="1" applyBorder="1" applyAlignment="1">
      <alignment horizontal="center" vertical="center"/>
    </xf>
    <xf numFmtId="49" fontId="20" fillId="0" borderId="16" xfId="0" applyNumberFormat="1" applyFont="1" applyFill="1" applyBorder="1" applyAlignment="1">
      <alignment horizontal="center" vertical="center"/>
    </xf>
    <xf numFmtId="49" fontId="23" fillId="0" borderId="16" xfId="4" applyNumberFormat="1" applyFont="1" applyFill="1" applyBorder="1" applyAlignment="1">
      <alignment horizontal="center" vertical="center" wrapText="1"/>
    </xf>
    <xf numFmtId="49" fontId="2" fillId="2" borderId="86" xfId="4" applyNumberFormat="1" applyFont="1" applyFill="1" applyBorder="1" applyAlignment="1">
      <alignment horizontal="center" vertical="center" wrapText="1"/>
    </xf>
    <xf numFmtId="0" fontId="16" fillId="2" borderId="87" xfId="4" applyFont="1" applyFill="1" applyBorder="1" applyAlignment="1">
      <alignment horizontal="center" vertical="center" wrapText="1"/>
    </xf>
    <xf numFmtId="49" fontId="2" fillId="2" borderId="87" xfId="4" applyNumberFormat="1" applyFont="1" applyFill="1" applyBorder="1" applyAlignment="1">
      <alignment horizontal="center" vertical="center" wrapText="1"/>
    </xf>
    <xf numFmtId="0" fontId="16" fillId="2" borderId="88" xfId="4" applyFont="1" applyFill="1" applyBorder="1" applyAlignment="1">
      <alignment horizontal="center" vertical="center" wrapText="1"/>
    </xf>
    <xf numFmtId="0" fontId="16" fillId="2" borderId="87" xfId="2" applyFont="1" applyFill="1" applyBorder="1" applyAlignment="1">
      <alignment horizontal="center" vertical="center" wrapText="1"/>
    </xf>
    <xf numFmtId="49" fontId="25" fillId="0" borderId="16" xfId="4" applyNumberFormat="1" applyFont="1" applyFill="1" applyBorder="1" applyAlignment="1">
      <alignment horizontal="center" vertical="center" wrapText="1"/>
    </xf>
    <xf numFmtId="49" fontId="2" fillId="0" borderId="16" xfId="4" applyNumberFormat="1" applyFont="1" applyFill="1" applyBorder="1" applyAlignment="1">
      <alignment horizontal="center" vertical="center" wrapText="1"/>
    </xf>
    <xf numFmtId="49" fontId="2" fillId="2" borderId="87" xfId="4" applyNumberFormat="1" applyFont="1" applyFill="1" applyBorder="1" applyAlignment="1">
      <alignment horizontal="center" vertical="center" wrapText="1" shrinkToFit="1"/>
    </xf>
    <xf numFmtId="0" fontId="2" fillId="2" borderId="86" xfId="4" applyFont="1" applyFill="1" applyBorder="1" applyAlignment="1">
      <alignment horizontal="center" vertical="center" wrapText="1"/>
    </xf>
    <xf numFmtId="0" fontId="23" fillId="2" borderId="86" xfId="4" applyFont="1" applyFill="1" applyBorder="1" applyAlignment="1">
      <alignment horizontal="center" vertical="center" wrapText="1"/>
    </xf>
    <xf numFmtId="49" fontId="2" fillId="0" borderId="16" xfId="4" applyNumberFormat="1" applyFont="1" applyFill="1" applyBorder="1" applyAlignment="1">
      <alignment horizontal="center" vertical="center"/>
    </xf>
    <xf numFmtId="49" fontId="2" fillId="2" borderId="16" xfId="4" applyNumberFormat="1" applyFont="1" applyFill="1" applyBorder="1" applyAlignment="1">
      <alignment horizontal="center" vertical="center"/>
    </xf>
    <xf numFmtId="0" fontId="16" fillId="2" borderId="93" xfId="4" applyFont="1" applyFill="1" applyBorder="1" applyAlignment="1">
      <alignment horizontal="center" vertical="center" wrapText="1"/>
    </xf>
    <xf numFmtId="49" fontId="2" fillId="2" borderId="93" xfId="4" applyNumberFormat="1" applyFont="1" applyFill="1" applyBorder="1" applyAlignment="1">
      <alignment horizontal="center" vertical="center" wrapText="1"/>
    </xf>
    <xf numFmtId="0" fontId="16" fillId="2" borderId="94" xfId="4" applyFont="1" applyFill="1" applyBorder="1" applyAlignment="1">
      <alignment horizontal="center" vertical="center" wrapText="1"/>
    </xf>
    <xf numFmtId="49" fontId="2" fillId="2" borderId="95" xfId="4" applyNumberFormat="1" applyFont="1" applyFill="1" applyBorder="1" applyAlignment="1">
      <alignment horizontal="center" vertical="center" wrapText="1"/>
    </xf>
    <xf numFmtId="0" fontId="16" fillId="2" borderId="93" xfId="2" applyFont="1" applyFill="1" applyBorder="1" applyAlignment="1">
      <alignment horizontal="center" vertical="center" wrapText="1"/>
    </xf>
    <xf numFmtId="0" fontId="16" fillId="2" borderId="96" xfId="4" applyFont="1" applyFill="1" applyBorder="1" applyAlignment="1">
      <alignment horizontal="center" vertical="center" wrapText="1"/>
    </xf>
    <xf numFmtId="49" fontId="23" fillId="2" borderId="86" xfId="4" applyNumberFormat="1" applyFont="1" applyFill="1" applyBorder="1" applyAlignment="1">
      <alignment horizontal="center" vertical="center" wrapText="1"/>
    </xf>
    <xf numFmtId="0" fontId="24" fillId="2" borderId="86" xfId="2" applyFont="1" applyFill="1" applyBorder="1" applyAlignment="1">
      <alignment horizontal="center" vertical="center" wrapText="1"/>
    </xf>
    <xf numFmtId="49" fontId="2" fillId="2" borderId="79" xfId="0" applyNumberFormat="1" applyFont="1" applyFill="1" applyBorder="1" applyAlignment="1">
      <alignment horizontal="center" vertical="center" wrapText="1"/>
    </xf>
    <xf numFmtId="0" fontId="16" fillId="2" borderId="92" xfId="2" applyFont="1" applyFill="1" applyBorder="1" applyAlignment="1">
      <alignment horizontal="center" vertical="center" wrapText="1"/>
    </xf>
    <xf numFmtId="49" fontId="2" fillId="2" borderId="83" xfId="4" applyNumberFormat="1" applyFont="1" applyFill="1" applyBorder="1" applyAlignment="1">
      <alignment horizontal="center" vertical="center" wrapText="1"/>
    </xf>
    <xf numFmtId="0" fontId="16" fillId="2" borderId="81" xfId="2" applyFont="1" applyFill="1" applyBorder="1" applyAlignment="1">
      <alignment horizontal="center" vertical="center" wrapText="1"/>
    </xf>
    <xf numFmtId="49" fontId="24" fillId="2" borderId="86" xfId="4" applyNumberFormat="1" applyFont="1" applyFill="1" applyBorder="1" applyAlignment="1">
      <alignment horizontal="center" vertical="center" wrapText="1"/>
    </xf>
    <xf numFmtId="0" fontId="24" fillId="2" borderId="83" xfId="2" applyFont="1" applyFill="1" applyBorder="1" applyAlignment="1">
      <alignment horizontal="center" vertical="center" wrapText="1"/>
    </xf>
    <xf numFmtId="49" fontId="25" fillId="2" borderId="97" xfId="4" applyNumberFormat="1" applyFont="1" applyFill="1" applyBorder="1" applyAlignment="1">
      <alignment horizontal="center" vertical="center" wrapText="1"/>
    </xf>
    <xf numFmtId="49" fontId="25" fillId="2" borderId="86" xfId="4" applyNumberFormat="1" applyFont="1" applyFill="1" applyBorder="1" applyAlignment="1">
      <alignment horizontal="center" vertical="center" wrapText="1"/>
    </xf>
    <xf numFmtId="0" fontId="16" fillId="2" borderId="93" xfId="4" applyNumberFormat="1" applyFont="1" applyFill="1" applyBorder="1" applyAlignment="1">
      <alignment horizontal="center" vertical="center"/>
    </xf>
    <xf numFmtId="0" fontId="2" fillId="2" borderId="86" xfId="4" applyFont="1" applyFill="1" applyBorder="1" applyAlignment="1">
      <alignment horizontal="center" vertical="center"/>
    </xf>
    <xf numFmtId="49" fontId="2" fillId="2" borderId="89" xfId="4" applyNumberFormat="1" applyFont="1" applyFill="1" applyBorder="1" applyAlignment="1">
      <alignment horizontal="center" vertical="center" wrapText="1"/>
    </xf>
    <xf numFmtId="0" fontId="16" fillId="2" borderId="90" xfId="4" applyFont="1" applyFill="1" applyBorder="1" applyAlignment="1">
      <alignment horizontal="center" vertical="center" wrapText="1"/>
    </xf>
    <xf numFmtId="49" fontId="2" fillId="2" borderId="91" xfId="0" applyNumberFormat="1" applyFont="1" applyFill="1" applyBorder="1" applyAlignment="1">
      <alignment horizontal="center" vertical="center" wrapText="1"/>
    </xf>
    <xf numFmtId="49" fontId="2" fillId="2" borderId="86" xfId="4" applyNumberFormat="1" applyFont="1" applyFill="1" applyBorder="1" applyAlignment="1">
      <alignment horizontal="center" vertical="center"/>
    </xf>
    <xf numFmtId="49" fontId="2" fillId="2" borderId="83" xfId="4" applyNumberFormat="1" applyFont="1" applyFill="1" applyBorder="1" applyAlignment="1">
      <alignment horizontal="center" vertical="center"/>
    </xf>
    <xf numFmtId="0" fontId="16" fillId="2" borderId="48" xfId="2" applyFont="1" applyFill="1" applyBorder="1" applyAlignment="1">
      <alignment horizontal="center" vertical="center" wrapText="1"/>
    </xf>
    <xf numFmtId="0" fontId="33" fillId="2" borderId="86" xfId="0" applyNumberFormat="1" applyFont="1" applyFill="1" applyBorder="1" applyAlignment="1">
      <alignment horizontal="center" vertical="center"/>
    </xf>
    <xf numFmtId="0" fontId="34" fillId="2" borderId="93" xfId="0" applyNumberFormat="1" applyFont="1" applyFill="1" applyBorder="1" applyAlignment="1">
      <alignment horizontal="center" vertical="center"/>
    </xf>
    <xf numFmtId="49" fontId="2" fillId="2" borderId="93" xfId="4" applyNumberFormat="1" applyFont="1" applyFill="1" applyBorder="1" applyAlignment="1">
      <alignment horizontal="center" vertical="center" wrapText="1" shrinkToFit="1"/>
    </xf>
    <xf numFmtId="0" fontId="2" fillId="7" borderId="86" xfId="4" applyFont="1" applyFill="1" applyBorder="1" applyAlignment="1">
      <alignment horizontal="center" vertical="center"/>
    </xf>
    <xf numFmtId="49" fontId="26" fillId="6" borderId="45" xfId="4" applyNumberFormat="1" applyFont="1" applyFill="1" applyBorder="1" applyAlignment="1">
      <alignment horizontal="center" vertical="center"/>
    </xf>
    <xf numFmtId="49" fontId="26" fillId="6" borderId="46" xfId="4" applyNumberFormat="1" applyFont="1" applyFill="1" applyBorder="1" applyAlignment="1">
      <alignment horizontal="center" vertical="center"/>
    </xf>
    <xf numFmtId="49" fontId="26" fillId="6" borderId="47" xfId="4" applyNumberFormat="1" applyFont="1" applyFill="1" applyBorder="1" applyAlignment="1">
      <alignment horizontal="center" vertical="center"/>
    </xf>
    <xf numFmtId="49" fontId="27" fillId="2" borderId="6" xfId="0" applyNumberFormat="1" applyFont="1" applyFill="1" applyBorder="1" applyAlignment="1">
      <alignment horizontal="center" wrapText="1"/>
    </xf>
    <xf numFmtId="49" fontId="27" fillId="2" borderId="13" xfId="0" applyNumberFormat="1" applyFont="1" applyFill="1" applyBorder="1" applyAlignment="1">
      <alignment horizontal="center" wrapText="1"/>
    </xf>
    <xf numFmtId="164" fontId="7" fillId="2" borderId="16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22" fillId="3" borderId="16" xfId="0" applyNumberFormat="1" applyFont="1" applyFill="1" applyBorder="1" applyAlignment="1">
      <alignment horizontal="center" vertical="center"/>
    </xf>
    <xf numFmtId="164" fontId="22" fillId="3" borderId="0" xfId="0" applyNumberFormat="1" applyFont="1" applyFill="1" applyBorder="1" applyAlignment="1">
      <alignment horizontal="center" vertical="center"/>
    </xf>
    <xf numFmtId="164" fontId="22" fillId="3" borderId="51" xfId="0" applyNumberFormat="1" applyFont="1" applyFill="1" applyBorder="1" applyAlignment="1">
      <alignment horizontal="center" vertical="center"/>
    </xf>
    <xf numFmtId="164" fontId="22" fillId="3" borderId="12" xfId="0" applyNumberFormat="1" applyFont="1" applyFill="1" applyBorder="1" applyAlignment="1">
      <alignment horizontal="center" vertical="center"/>
    </xf>
    <xf numFmtId="164" fontId="22" fillId="3" borderId="45" xfId="0" applyNumberFormat="1" applyFont="1" applyFill="1" applyBorder="1" applyAlignment="1">
      <alignment horizontal="center" vertical="center"/>
    </xf>
    <xf numFmtId="164" fontId="22" fillId="3" borderId="46" xfId="0" applyNumberFormat="1" applyFont="1" applyFill="1" applyBorder="1" applyAlignment="1">
      <alignment horizontal="center" vertical="center"/>
    </xf>
    <xf numFmtId="164" fontId="22" fillId="3" borderId="47" xfId="0" applyNumberFormat="1" applyFont="1" applyFill="1" applyBorder="1" applyAlignment="1">
      <alignment horizontal="center" vertical="center"/>
    </xf>
    <xf numFmtId="164" fontId="22" fillId="5" borderId="45" xfId="0" applyNumberFormat="1" applyFont="1" applyFill="1" applyBorder="1" applyAlignment="1">
      <alignment horizontal="center" vertical="center"/>
    </xf>
    <xf numFmtId="164" fontId="22" fillId="5" borderId="46" xfId="0" applyNumberFormat="1" applyFont="1" applyFill="1" applyBorder="1" applyAlignment="1">
      <alignment horizontal="center" vertical="center"/>
    </xf>
    <xf numFmtId="164" fontId="22" fillId="5" borderId="47" xfId="0" applyNumberFormat="1" applyFont="1" applyFill="1" applyBorder="1" applyAlignment="1">
      <alignment horizontal="center" vertical="center"/>
    </xf>
    <xf numFmtId="164" fontId="22" fillId="5" borderId="16" xfId="0" applyNumberFormat="1" applyFont="1" applyFill="1" applyBorder="1" applyAlignment="1">
      <alignment horizontal="center" vertical="center"/>
    </xf>
    <xf numFmtId="164" fontId="22" fillId="5" borderId="0" xfId="0" applyNumberFormat="1" applyFont="1" applyFill="1" applyBorder="1" applyAlignment="1">
      <alignment horizontal="center" vertical="center"/>
    </xf>
    <xf numFmtId="164" fontId="22" fillId="5" borderId="51" xfId="0" applyNumberFormat="1" applyFont="1" applyFill="1" applyBorder="1" applyAlignment="1">
      <alignment horizontal="center" vertical="center"/>
    </xf>
    <xf numFmtId="164" fontId="21" fillId="3" borderId="20" xfId="0" applyNumberFormat="1" applyFont="1" applyFill="1" applyBorder="1" applyAlignment="1">
      <alignment horizontal="center" vertical="center"/>
    </xf>
    <xf numFmtId="164" fontId="21" fillId="3" borderId="21" xfId="0" applyNumberFormat="1" applyFont="1" applyFill="1" applyBorder="1" applyAlignment="1">
      <alignment horizontal="center" vertical="center"/>
    </xf>
    <xf numFmtId="164" fontId="21" fillId="3" borderId="22" xfId="0" applyNumberFormat="1" applyFont="1" applyFill="1" applyBorder="1" applyAlignment="1">
      <alignment horizontal="center" vertical="center"/>
    </xf>
    <xf numFmtId="164" fontId="19" fillId="0" borderId="16" xfId="0" applyNumberFormat="1" applyFont="1" applyFill="1" applyBorder="1" applyAlignment="1">
      <alignment horizontal="center" vertical="center"/>
    </xf>
    <xf numFmtId="164" fontId="19" fillId="0" borderId="0" xfId="0" applyNumberFormat="1" applyFont="1" applyFill="1" applyBorder="1" applyAlignment="1">
      <alignment horizontal="center" vertical="center"/>
    </xf>
    <xf numFmtId="164" fontId="21" fillId="3" borderId="9" xfId="0" applyNumberFormat="1" applyFont="1" applyFill="1" applyBorder="1" applyAlignment="1">
      <alignment horizontal="center" vertical="center"/>
    </xf>
    <xf numFmtId="164" fontId="21" fillId="3" borderId="10" xfId="0" applyNumberFormat="1" applyFont="1" applyFill="1" applyBorder="1" applyAlignment="1">
      <alignment horizontal="center" vertical="center"/>
    </xf>
    <xf numFmtId="164" fontId="21" fillId="3" borderId="5" xfId="0" applyNumberFormat="1" applyFont="1" applyFill="1" applyBorder="1" applyAlignment="1">
      <alignment horizontal="center" vertical="center"/>
    </xf>
    <xf numFmtId="164" fontId="22" fillId="0" borderId="0" xfId="0" applyNumberFormat="1" applyFont="1" applyFill="1" applyBorder="1" applyAlignment="1">
      <alignment horizontal="center" vertical="center"/>
    </xf>
    <xf numFmtId="49" fontId="26" fillId="6" borderId="9" xfId="0" applyNumberFormat="1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164" fontId="21" fillId="5" borderId="6" xfId="0" applyNumberFormat="1" applyFont="1" applyFill="1" applyBorder="1" applyAlignment="1">
      <alignment horizontal="center" vertical="center"/>
    </xf>
    <xf numFmtId="164" fontId="21" fillId="5" borderId="13" xfId="0" applyNumberFormat="1" applyFont="1" applyFill="1" applyBorder="1" applyAlignment="1">
      <alignment horizontal="center" vertical="center"/>
    </xf>
    <xf numFmtId="164" fontId="21" fillId="5" borderId="30" xfId="0" applyNumberFormat="1" applyFont="1" applyFill="1" applyBorder="1" applyAlignment="1">
      <alignment horizontal="center" vertical="center"/>
    </xf>
    <xf numFmtId="164" fontId="21" fillId="3" borderId="6" xfId="0" applyNumberFormat="1" applyFont="1" applyFill="1" applyBorder="1" applyAlignment="1">
      <alignment horizontal="center" vertical="center"/>
    </xf>
    <xf numFmtId="164" fontId="21" fillId="3" borderId="13" xfId="0" applyNumberFormat="1" applyFont="1" applyFill="1" applyBorder="1" applyAlignment="1">
      <alignment horizontal="center" vertical="center"/>
    </xf>
    <xf numFmtId="164" fontId="21" fillId="3" borderId="30" xfId="0" applyNumberFormat="1" applyFont="1" applyFill="1" applyBorder="1" applyAlignment="1">
      <alignment horizontal="center" vertical="center"/>
    </xf>
    <xf numFmtId="49" fontId="2" fillId="6" borderId="9" xfId="4" applyNumberFormat="1" applyFont="1" applyFill="1" applyBorder="1" applyAlignment="1">
      <alignment horizontal="center" vertical="center"/>
    </xf>
    <xf numFmtId="0" fontId="2" fillId="6" borderId="10" xfId="4" applyFont="1" applyFill="1" applyBorder="1" applyAlignment="1">
      <alignment horizontal="center" vertical="center"/>
    </xf>
    <xf numFmtId="0" fontId="2" fillId="6" borderId="5" xfId="4" applyFont="1" applyFill="1" applyBorder="1" applyAlignment="1">
      <alignment horizontal="center" vertical="center"/>
    </xf>
    <xf numFmtId="49" fontId="29" fillId="0" borderId="6" xfId="4" applyNumberFormat="1" applyFont="1" applyFill="1" applyBorder="1" applyAlignment="1">
      <alignment horizontal="center" wrapText="1"/>
    </xf>
    <xf numFmtId="49" fontId="29" fillId="0" borderId="13" xfId="4" applyNumberFormat="1" applyFont="1" applyFill="1" applyBorder="1" applyAlignment="1">
      <alignment horizontal="center" wrapText="1"/>
    </xf>
    <xf numFmtId="49" fontId="29" fillId="0" borderId="30" xfId="4" applyNumberFormat="1" applyFont="1" applyFill="1" applyBorder="1" applyAlignment="1">
      <alignment horizontal="center" wrapText="1"/>
    </xf>
    <xf numFmtId="49" fontId="2" fillId="6" borderId="10" xfId="4" applyNumberFormat="1" applyFont="1" applyFill="1" applyBorder="1" applyAlignment="1">
      <alignment horizontal="center" vertical="center"/>
    </xf>
    <xf numFmtId="49" fontId="2" fillId="6" borderId="5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3" xfId="2"/>
    <cellStyle name="Normal 3" xfId="3"/>
    <cellStyle name="Normal 4" xfId="4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0F9"/>
      <color rgb="FFFDD7F0"/>
      <color rgb="FFC60A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7"/>
  <sheetViews>
    <sheetView showGridLines="0" tabSelected="1" view="pageBreakPreview" topLeftCell="B1" zoomScale="24" zoomScaleNormal="40" zoomScaleSheetLayoutView="24" zoomScalePageLayoutView="25" workbookViewId="0">
      <selection activeCell="U32" sqref="U32"/>
    </sheetView>
  </sheetViews>
  <sheetFormatPr defaultColWidth="9.140625" defaultRowHeight="14.45" customHeight="1"/>
  <cols>
    <col min="1" max="1" width="47" style="13" customWidth="1"/>
    <col min="2" max="2" width="13.7109375" style="16" customWidth="1"/>
    <col min="3" max="3" width="43.5703125" style="13" customWidth="1"/>
    <col min="4" max="4" width="13.5703125" style="16" customWidth="1"/>
    <col min="5" max="5" width="47.28515625" style="13" customWidth="1"/>
    <col min="6" max="6" width="14" style="16" customWidth="1"/>
    <col min="7" max="7" width="43.7109375" style="13" customWidth="1"/>
    <col min="8" max="8" width="14" style="16" customWidth="1"/>
    <col min="9" max="9" width="47" style="13" customWidth="1"/>
    <col min="10" max="10" width="13.7109375" style="16" customWidth="1"/>
    <col min="11" max="11" width="43.5703125" style="13" customWidth="1"/>
    <col min="12" max="12" width="13.7109375" style="16" customWidth="1"/>
    <col min="13" max="13" width="47.85546875" style="13" customWidth="1"/>
    <col min="14" max="14" width="13.7109375" style="16" customWidth="1"/>
    <col min="15" max="15" width="42.140625" style="13" customWidth="1"/>
    <col min="16" max="16" width="13.5703125" style="16" customWidth="1"/>
    <col min="17" max="17" width="47.42578125" style="13" customWidth="1"/>
    <col min="18" max="18" width="14" style="16" customWidth="1"/>
    <col min="19" max="19" width="42.42578125" style="13" customWidth="1"/>
    <col min="20" max="20" width="13.5703125" style="16" customWidth="1"/>
    <col min="21" max="21" width="47" style="13" customWidth="1"/>
    <col min="22" max="22" width="13.7109375" style="16" customWidth="1"/>
    <col min="23" max="23" width="42" style="13" customWidth="1"/>
    <col min="24" max="24" width="14" style="16" customWidth="1"/>
    <col min="25" max="25" width="47.42578125" style="13" customWidth="1"/>
    <col min="26" max="26" width="13.7109375" style="16" customWidth="1"/>
    <col min="27" max="27" width="43.42578125" style="13" customWidth="1"/>
    <col min="28" max="28" width="13.7109375" style="16" customWidth="1"/>
    <col min="29" max="16384" width="9.140625" style="13"/>
  </cols>
  <sheetData>
    <row r="1" spans="1:28" ht="63.75" customHeight="1" thickBot="1">
      <c r="A1" s="317" t="s">
        <v>208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9"/>
    </row>
    <row r="2" spans="1:28" ht="77.25" customHeight="1" thickBot="1">
      <c r="A2" s="311"/>
      <c r="B2" s="312"/>
      <c r="C2" s="312"/>
      <c r="D2" s="312"/>
      <c r="E2" s="312"/>
      <c r="F2" s="312"/>
      <c r="G2" s="312"/>
      <c r="H2" s="312"/>
      <c r="I2" s="316"/>
      <c r="J2" s="316"/>
      <c r="K2" s="316"/>
      <c r="L2" s="316"/>
      <c r="M2" s="316"/>
      <c r="N2" s="316"/>
      <c r="O2" s="316"/>
      <c r="P2" s="316"/>
      <c r="Q2" s="320" t="s">
        <v>106</v>
      </c>
      <c r="R2" s="321"/>
      <c r="S2" s="321"/>
      <c r="T2" s="322"/>
      <c r="U2" s="323" t="s">
        <v>135</v>
      </c>
      <c r="V2" s="324"/>
      <c r="W2" s="324"/>
      <c r="X2" s="325"/>
      <c r="Y2" s="323" t="s">
        <v>136</v>
      </c>
      <c r="Z2" s="324"/>
      <c r="AA2" s="324"/>
      <c r="AB2" s="325"/>
    </row>
    <row r="3" spans="1:28" ht="46.5" customHeight="1">
      <c r="A3" s="245"/>
      <c r="B3" s="232"/>
      <c r="C3" s="231"/>
      <c r="D3" s="232"/>
      <c r="E3" s="231"/>
      <c r="F3" s="232"/>
      <c r="G3" s="231"/>
      <c r="H3" s="232"/>
      <c r="I3" s="231"/>
      <c r="J3" s="232"/>
      <c r="K3" s="231"/>
      <c r="L3" s="232"/>
      <c r="M3" s="231"/>
      <c r="N3" s="232"/>
      <c r="O3" s="231"/>
      <c r="P3" s="232"/>
      <c r="Q3" s="102" t="s">
        <v>0</v>
      </c>
      <c r="R3" s="103" t="s">
        <v>1</v>
      </c>
      <c r="S3" s="104" t="s">
        <v>2</v>
      </c>
      <c r="T3" s="105" t="s">
        <v>1</v>
      </c>
      <c r="U3" s="102" t="s">
        <v>0</v>
      </c>
      <c r="V3" s="103" t="s">
        <v>1</v>
      </c>
      <c r="W3" s="104" t="s">
        <v>2</v>
      </c>
      <c r="X3" s="105" t="s">
        <v>1</v>
      </c>
      <c r="Y3" s="102" t="s">
        <v>0</v>
      </c>
      <c r="Z3" s="103" t="s">
        <v>1</v>
      </c>
      <c r="AA3" s="104" t="s">
        <v>2</v>
      </c>
      <c r="AB3" s="105" t="s">
        <v>1</v>
      </c>
    </row>
    <row r="4" spans="1:28" ht="105.75" customHeight="1">
      <c r="A4" s="246"/>
      <c r="B4" s="233"/>
      <c r="C4" s="234"/>
      <c r="D4" s="233"/>
      <c r="E4" s="234"/>
      <c r="F4" s="233"/>
      <c r="G4" s="234"/>
      <c r="H4" s="233"/>
      <c r="I4" s="234"/>
      <c r="J4" s="233"/>
      <c r="K4" s="234"/>
      <c r="L4" s="233"/>
      <c r="M4" s="234"/>
      <c r="N4" s="233"/>
      <c r="O4" s="234"/>
      <c r="P4" s="233"/>
      <c r="Q4" s="247" t="s">
        <v>45</v>
      </c>
      <c r="R4" s="248">
        <v>119</v>
      </c>
      <c r="S4" s="249" t="s">
        <v>221</v>
      </c>
      <c r="T4" s="250">
        <v>36</v>
      </c>
      <c r="U4" s="247" t="s">
        <v>48</v>
      </c>
      <c r="V4" s="251">
        <v>137</v>
      </c>
      <c r="W4" s="249" t="s">
        <v>95</v>
      </c>
      <c r="X4" s="250">
        <v>34</v>
      </c>
      <c r="Y4" s="247" t="s">
        <v>155</v>
      </c>
      <c r="Z4" s="248">
        <v>141</v>
      </c>
      <c r="AA4" s="249" t="s">
        <v>166</v>
      </c>
      <c r="AB4" s="250">
        <v>72</v>
      </c>
    </row>
    <row r="5" spans="1:28" ht="144" customHeight="1">
      <c r="A5" s="252"/>
      <c r="B5" s="233"/>
      <c r="C5" s="234"/>
      <c r="D5" s="233"/>
      <c r="E5" s="234"/>
      <c r="F5" s="233"/>
      <c r="G5" s="234"/>
      <c r="H5" s="233"/>
      <c r="I5" s="235"/>
      <c r="J5" s="233"/>
      <c r="K5" s="234"/>
      <c r="L5" s="233"/>
      <c r="M5" s="235"/>
      <c r="N5" s="233"/>
      <c r="O5" s="234"/>
      <c r="P5" s="233"/>
      <c r="Q5" s="247" t="s">
        <v>146</v>
      </c>
      <c r="R5" s="248">
        <v>208</v>
      </c>
      <c r="S5" s="249" t="s">
        <v>24</v>
      </c>
      <c r="T5" s="250">
        <v>39</v>
      </c>
      <c r="U5" s="247" t="s">
        <v>157</v>
      </c>
      <c r="V5" s="248">
        <v>143</v>
      </c>
      <c r="W5" s="249" t="s">
        <v>93</v>
      </c>
      <c r="X5" s="250">
        <v>54</v>
      </c>
      <c r="Y5" s="247" t="s">
        <v>111</v>
      </c>
      <c r="Z5" s="248">
        <v>341</v>
      </c>
      <c r="AA5" s="249" t="s">
        <v>84</v>
      </c>
      <c r="AB5" s="250">
        <v>47</v>
      </c>
    </row>
    <row r="6" spans="1:28" ht="110.25" customHeight="1">
      <c r="A6" s="253"/>
      <c r="B6" s="233"/>
      <c r="C6" s="234"/>
      <c r="D6" s="233"/>
      <c r="E6" s="234"/>
      <c r="F6" s="233"/>
      <c r="G6" s="234"/>
      <c r="H6" s="233"/>
      <c r="I6" s="234"/>
      <c r="J6" s="233"/>
      <c r="K6" s="234"/>
      <c r="L6" s="233"/>
      <c r="M6" s="234"/>
      <c r="N6" s="233"/>
      <c r="O6" s="234"/>
      <c r="P6" s="233"/>
      <c r="Q6" s="247" t="s">
        <v>44</v>
      </c>
      <c r="R6" s="248">
        <v>258</v>
      </c>
      <c r="S6" s="254" t="s">
        <v>63</v>
      </c>
      <c r="T6" s="250">
        <v>7</v>
      </c>
      <c r="U6" s="247" t="s">
        <v>99</v>
      </c>
      <c r="V6" s="248">
        <v>302</v>
      </c>
      <c r="W6" s="249" t="s">
        <v>154</v>
      </c>
      <c r="X6" s="250">
        <v>71</v>
      </c>
      <c r="Y6" s="247" t="s">
        <v>195</v>
      </c>
      <c r="Z6" s="248">
        <v>225</v>
      </c>
      <c r="AA6" s="249" t="s">
        <v>30</v>
      </c>
      <c r="AB6" s="250">
        <v>21</v>
      </c>
    </row>
    <row r="7" spans="1:28" ht="98.25" customHeight="1">
      <c r="A7" s="253"/>
      <c r="B7" s="233"/>
      <c r="C7" s="234"/>
      <c r="D7" s="233"/>
      <c r="E7" s="234"/>
      <c r="F7" s="236"/>
      <c r="G7" s="234"/>
      <c r="H7" s="233"/>
      <c r="I7" s="237"/>
      <c r="J7" s="238"/>
      <c r="K7" s="234"/>
      <c r="L7" s="233"/>
      <c r="M7" s="237"/>
      <c r="N7" s="238"/>
      <c r="O7" s="234"/>
      <c r="P7" s="233"/>
      <c r="Q7" s="255" t="s">
        <v>62</v>
      </c>
      <c r="R7" s="248">
        <v>180</v>
      </c>
      <c r="S7" s="249" t="s">
        <v>87</v>
      </c>
      <c r="T7" s="250">
        <v>59</v>
      </c>
      <c r="U7" s="247" t="s">
        <v>167</v>
      </c>
      <c r="V7" s="128">
        <v>326</v>
      </c>
      <c r="W7" s="249" t="s">
        <v>83</v>
      </c>
      <c r="X7" s="250">
        <v>29</v>
      </c>
      <c r="Y7" s="255" t="s">
        <v>42</v>
      </c>
      <c r="Z7" s="248">
        <v>92</v>
      </c>
      <c r="AA7" s="249" t="s">
        <v>91</v>
      </c>
      <c r="AB7" s="250">
        <v>23</v>
      </c>
    </row>
    <row r="8" spans="1:28" ht="96.75" customHeight="1" thickBot="1">
      <c r="A8" s="253"/>
      <c r="B8" s="233"/>
      <c r="C8" s="234"/>
      <c r="D8" s="233"/>
      <c r="E8" s="234"/>
      <c r="F8" s="233"/>
      <c r="G8" s="234"/>
      <c r="H8" s="233"/>
      <c r="I8" s="234"/>
      <c r="J8" s="233"/>
      <c r="K8" s="234"/>
      <c r="L8" s="233"/>
      <c r="M8" s="234"/>
      <c r="N8" s="233"/>
      <c r="O8" s="234"/>
      <c r="P8" s="233"/>
      <c r="Q8" s="240"/>
      <c r="R8" s="241"/>
      <c r="S8" s="242" t="s">
        <v>65</v>
      </c>
      <c r="T8" s="243">
        <v>37</v>
      </c>
      <c r="U8" s="106"/>
      <c r="V8" s="99"/>
      <c r="W8" s="249" t="s">
        <v>55</v>
      </c>
      <c r="X8" s="250">
        <v>72</v>
      </c>
      <c r="Y8" s="256"/>
      <c r="Z8" s="248"/>
      <c r="AA8" s="249" t="s">
        <v>143</v>
      </c>
      <c r="AB8" s="250">
        <v>81</v>
      </c>
    </row>
    <row r="9" spans="1:28" ht="65.25" customHeight="1" thickBot="1">
      <c r="A9" s="257"/>
      <c r="B9" s="236"/>
      <c r="C9" s="239"/>
      <c r="D9" s="236"/>
      <c r="E9" s="239"/>
      <c r="F9" s="236"/>
      <c r="G9" s="239"/>
      <c r="H9" s="236"/>
      <c r="I9" s="239"/>
      <c r="J9" s="236"/>
      <c r="K9" s="239"/>
      <c r="L9" s="236"/>
      <c r="M9" s="239"/>
      <c r="N9" s="236"/>
      <c r="O9" s="239"/>
      <c r="P9" s="236"/>
      <c r="Q9" s="95" t="s">
        <v>3</v>
      </c>
      <c r="R9" s="96">
        <f>SUM(R4:R8)</f>
        <v>765</v>
      </c>
      <c r="S9" s="95" t="s">
        <v>3</v>
      </c>
      <c r="T9" s="97">
        <f>SUM(T4:T8)</f>
        <v>178</v>
      </c>
      <c r="U9" s="95" t="s">
        <v>3</v>
      </c>
      <c r="V9" s="96">
        <f>SUM(V4:V7)</f>
        <v>908</v>
      </c>
      <c r="W9" s="95" t="s">
        <v>3</v>
      </c>
      <c r="X9" s="98">
        <f>SUM(X4:X8)</f>
        <v>260</v>
      </c>
      <c r="Y9" s="95" t="s">
        <v>3</v>
      </c>
      <c r="Z9" s="97">
        <f>SUM(Z4:Z7)</f>
        <v>799</v>
      </c>
      <c r="AA9" s="95" t="s">
        <v>3</v>
      </c>
      <c r="AB9" s="98">
        <f>SUM(AB4:AB8)</f>
        <v>244</v>
      </c>
    </row>
    <row r="10" spans="1:28" s="21" customFormat="1" ht="12.75" customHeight="1" thickBot="1">
      <c r="A10" s="258"/>
      <c r="B10" s="148"/>
      <c r="C10" s="148"/>
      <c r="D10" s="148"/>
      <c r="E10" s="148"/>
      <c r="F10" s="148"/>
      <c r="G10" s="148"/>
      <c r="H10" s="148"/>
      <c r="I10" s="2"/>
      <c r="J10" s="1"/>
      <c r="K10" s="2"/>
      <c r="L10" s="1"/>
      <c r="M10" s="2"/>
      <c r="N10" s="1"/>
      <c r="O10" s="2"/>
      <c r="P10" s="1"/>
      <c r="Q10" s="2"/>
      <c r="R10" s="1"/>
      <c r="S10" s="2"/>
      <c r="T10" s="1"/>
      <c r="U10" s="2"/>
      <c r="V10" s="1"/>
      <c r="W10" s="2"/>
      <c r="X10" s="1"/>
      <c r="Y10" s="2"/>
      <c r="Z10" s="1"/>
      <c r="AA10" s="2"/>
      <c r="AB10" s="15"/>
    </row>
    <row r="11" spans="1:28" ht="75.75" customHeight="1" thickBot="1">
      <c r="A11" s="308" t="s">
        <v>107</v>
      </c>
      <c r="B11" s="309"/>
      <c r="C11" s="309"/>
      <c r="D11" s="310"/>
      <c r="E11" s="308" t="s">
        <v>129</v>
      </c>
      <c r="F11" s="309"/>
      <c r="G11" s="309"/>
      <c r="H11" s="310"/>
      <c r="I11" s="308" t="s">
        <v>130</v>
      </c>
      <c r="J11" s="309"/>
      <c r="K11" s="309"/>
      <c r="L11" s="310"/>
      <c r="M11" s="308" t="s">
        <v>131</v>
      </c>
      <c r="N11" s="309"/>
      <c r="O11" s="309"/>
      <c r="P11" s="310"/>
      <c r="Q11" s="308" t="s">
        <v>132</v>
      </c>
      <c r="R11" s="309"/>
      <c r="S11" s="309"/>
      <c r="T11" s="310"/>
      <c r="U11" s="308" t="s">
        <v>133</v>
      </c>
      <c r="V11" s="309"/>
      <c r="W11" s="309"/>
      <c r="X11" s="310"/>
      <c r="Y11" s="308" t="s">
        <v>134</v>
      </c>
      <c r="Z11" s="309"/>
      <c r="AA11" s="309"/>
      <c r="AB11" s="310"/>
    </row>
    <row r="12" spans="1:28" ht="45" customHeight="1">
      <c r="A12" s="102" t="s">
        <v>0</v>
      </c>
      <c r="B12" s="103" t="s">
        <v>1</v>
      </c>
      <c r="C12" s="104" t="s">
        <v>2</v>
      </c>
      <c r="D12" s="105" t="s">
        <v>1</v>
      </c>
      <c r="E12" s="102" t="s">
        <v>0</v>
      </c>
      <c r="F12" s="103" t="s">
        <v>1</v>
      </c>
      <c r="G12" s="104" t="s">
        <v>2</v>
      </c>
      <c r="H12" s="105" t="s">
        <v>1</v>
      </c>
      <c r="I12" s="102" t="s">
        <v>0</v>
      </c>
      <c r="J12" s="103" t="s">
        <v>1</v>
      </c>
      <c r="K12" s="104" t="s">
        <v>2</v>
      </c>
      <c r="L12" s="105" t="s">
        <v>1</v>
      </c>
      <c r="M12" s="102" t="s">
        <v>0</v>
      </c>
      <c r="N12" s="103" t="s">
        <v>1</v>
      </c>
      <c r="O12" s="104" t="s">
        <v>2</v>
      </c>
      <c r="P12" s="105" t="s">
        <v>1</v>
      </c>
      <c r="Q12" s="102" t="s">
        <v>0</v>
      </c>
      <c r="R12" s="103" t="s">
        <v>1</v>
      </c>
      <c r="S12" s="104" t="s">
        <v>2</v>
      </c>
      <c r="T12" s="105" t="s">
        <v>1</v>
      </c>
      <c r="U12" s="90" t="s">
        <v>0</v>
      </c>
      <c r="V12" s="103" t="s">
        <v>1</v>
      </c>
      <c r="W12" s="104" t="s">
        <v>2</v>
      </c>
      <c r="X12" s="105" t="s">
        <v>1</v>
      </c>
      <c r="Y12" s="102" t="s">
        <v>0</v>
      </c>
      <c r="Z12" s="103" t="s">
        <v>1</v>
      </c>
      <c r="AA12" s="104" t="s">
        <v>2</v>
      </c>
      <c r="AB12" s="105" t="s">
        <v>1</v>
      </c>
    </row>
    <row r="13" spans="1:28" ht="102.75" customHeight="1">
      <c r="A13" s="247" t="s">
        <v>191</v>
      </c>
      <c r="B13" s="248">
        <v>154</v>
      </c>
      <c r="C13" s="249" t="s">
        <v>96</v>
      </c>
      <c r="D13" s="250">
        <v>43</v>
      </c>
      <c r="E13" s="247" t="s">
        <v>48</v>
      </c>
      <c r="F13" s="248">
        <v>137</v>
      </c>
      <c r="G13" s="249" t="s">
        <v>38</v>
      </c>
      <c r="H13" s="250">
        <v>32</v>
      </c>
      <c r="I13" s="247" t="s">
        <v>197</v>
      </c>
      <c r="J13" s="248">
        <v>89</v>
      </c>
      <c r="K13" s="249" t="s">
        <v>46</v>
      </c>
      <c r="L13" s="250">
        <v>42</v>
      </c>
      <c r="M13" s="277" t="s">
        <v>27</v>
      </c>
      <c r="N13" s="251">
        <v>125</v>
      </c>
      <c r="O13" s="249" t="s">
        <v>49</v>
      </c>
      <c r="P13" s="250">
        <v>41</v>
      </c>
      <c r="Q13" s="247" t="s">
        <v>168</v>
      </c>
      <c r="R13" s="248">
        <v>143</v>
      </c>
      <c r="S13" s="249" t="s">
        <v>83</v>
      </c>
      <c r="T13" s="250">
        <v>29</v>
      </c>
      <c r="U13" s="247" t="s">
        <v>48</v>
      </c>
      <c r="V13" s="248">
        <v>137</v>
      </c>
      <c r="W13" s="249" t="s">
        <v>36</v>
      </c>
      <c r="X13" s="278">
        <v>8</v>
      </c>
      <c r="Y13" s="265" t="s">
        <v>104</v>
      </c>
      <c r="Z13" s="248">
        <v>181</v>
      </c>
      <c r="AA13" s="249" t="s">
        <v>196</v>
      </c>
      <c r="AB13" s="250">
        <v>76</v>
      </c>
    </row>
    <row r="14" spans="1:28" ht="142.5" customHeight="1">
      <c r="A14" s="247" t="s">
        <v>142</v>
      </c>
      <c r="B14" s="248">
        <v>127</v>
      </c>
      <c r="C14" s="249" t="s">
        <v>31</v>
      </c>
      <c r="D14" s="250">
        <v>75</v>
      </c>
      <c r="E14" s="247" t="s">
        <v>145</v>
      </c>
      <c r="F14" s="248">
        <v>372</v>
      </c>
      <c r="G14" s="249" t="s">
        <v>28</v>
      </c>
      <c r="H14" s="250">
        <v>8</v>
      </c>
      <c r="I14" s="266" t="s">
        <v>138</v>
      </c>
      <c r="J14" s="248">
        <v>241</v>
      </c>
      <c r="K14" s="249" t="s">
        <v>40</v>
      </c>
      <c r="L14" s="250">
        <v>28</v>
      </c>
      <c r="M14" s="247" t="s">
        <v>212</v>
      </c>
      <c r="N14" s="248">
        <v>298</v>
      </c>
      <c r="O14" s="249" t="s">
        <v>87</v>
      </c>
      <c r="P14" s="250">
        <v>59</v>
      </c>
      <c r="Q14" s="247" t="s">
        <v>59</v>
      </c>
      <c r="R14" s="248">
        <v>328</v>
      </c>
      <c r="S14" s="249" t="s">
        <v>199</v>
      </c>
      <c r="T14" s="250">
        <v>5</v>
      </c>
      <c r="U14" s="277" t="s">
        <v>139</v>
      </c>
      <c r="V14" s="248">
        <v>242</v>
      </c>
      <c r="W14" s="249" t="s">
        <v>25</v>
      </c>
      <c r="X14" s="278">
        <v>51</v>
      </c>
      <c r="Y14" s="247" t="s">
        <v>137</v>
      </c>
      <c r="Z14" s="248">
        <v>131</v>
      </c>
      <c r="AA14" s="277" t="s">
        <v>82</v>
      </c>
      <c r="AB14" s="250">
        <v>10</v>
      </c>
    </row>
    <row r="15" spans="1:28" ht="111" customHeight="1">
      <c r="A15" s="247" t="s">
        <v>53</v>
      </c>
      <c r="B15" s="248">
        <v>256</v>
      </c>
      <c r="C15" s="249" t="s">
        <v>56</v>
      </c>
      <c r="D15" s="250">
        <v>76</v>
      </c>
      <c r="E15" s="247" t="s">
        <v>60</v>
      </c>
      <c r="F15" s="248">
        <v>470</v>
      </c>
      <c r="G15" s="249" t="s">
        <v>50</v>
      </c>
      <c r="H15" s="250">
        <v>68</v>
      </c>
      <c r="I15" s="247" t="s">
        <v>101</v>
      </c>
      <c r="J15" s="248">
        <v>226</v>
      </c>
      <c r="K15" s="249" t="s">
        <v>63</v>
      </c>
      <c r="L15" s="250">
        <v>7</v>
      </c>
      <c r="M15" s="247" t="s">
        <v>169</v>
      </c>
      <c r="N15" s="248">
        <v>286</v>
      </c>
      <c r="O15" s="249" t="s">
        <v>28</v>
      </c>
      <c r="P15" s="250">
        <v>8</v>
      </c>
      <c r="Q15" s="247" t="s">
        <v>198</v>
      </c>
      <c r="R15" s="248">
        <v>229</v>
      </c>
      <c r="S15" s="249" t="s">
        <v>47</v>
      </c>
      <c r="T15" s="250">
        <v>24</v>
      </c>
      <c r="U15" s="247" t="s">
        <v>44</v>
      </c>
      <c r="V15" s="248">
        <v>258</v>
      </c>
      <c r="W15" s="279" t="s">
        <v>112</v>
      </c>
      <c r="X15" s="268">
        <v>41</v>
      </c>
      <c r="Y15" s="247" t="s">
        <v>209</v>
      </c>
      <c r="Z15" s="259">
        <v>284</v>
      </c>
      <c r="AA15" s="260" t="s">
        <v>221</v>
      </c>
      <c r="AB15" s="261">
        <v>36</v>
      </c>
    </row>
    <row r="16" spans="1:28" ht="98.25" customHeight="1">
      <c r="A16" s="247" t="s">
        <v>37</v>
      </c>
      <c r="B16" s="259">
        <v>110</v>
      </c>
      <c r="C16" s="260" t="s">
        <v>23</v>
      </c>
      <c r="D16" s="261">
        <v>12</v>
      </c>
      <c r="E16" s="247" t="s">
        <v>94</v>
      </c>
      <c r="F16" s="259">
        <v>73</v>
      </c>
      <c r="G16" s="262" t="s">
        <v>30</v>
      </c>
      <c r="H16" s="261">
        <v>21</v>
      </c>
      <c r="I16" s="276" t="s">
        <v>66</v>
      </c>
      <c r="J16" s="259">
        <v>64</v>
      </c>
      <c r="K16" s="260" t="s">
        <v>113</v>
      </c>
      <c r="L16" s="268">
        <v>24</v>
      </c>
      <c r="M16" s="280" t="s">
        <v>86</v>
      </c>
      <c r="N16" s="259">
        <v>99</v>
      </c>
      <c r="O16" s="260" t="s">
        <v>30</v>
      </c>
      <c r="P16" s="261">
        <v>21</v>
      </c>
      <c r="Q16" s="247" t="s">
        <v>80</v>
      </c>
      <c r="R16" s="259">
        <v>332</v>
      </c>
      <c r="S16" s="260" t="s">
        <v>24</v>
      </c>
      <c r="T16" s="264">
        <v>39</v>
      </c>
      <c r="U16" s="276" t="s">
        <v>210</v>
      </c>
      <c r="V16" s="259">
        <v>94</v>
      </c>
      <c r="W16" s="260" t="s">
        <v>171</v>
      </c>
      <c r="X16" s="264">
        <v>42</v>
      </c>
      <c r="Y16" s="281" t="s">
        <v>62</v>
      </c>
      <c r="Z16" s="128">
        <v>180</v>
      </c>
      <c r="AA16" s="260" t="s">
        <v>89</v>
      </c>
      <c r="AB16" s="261">
        <v>42</v>
      </c>
    </row>
    <row r="17" spans="1:28" ht="99" customHeight="1" thickBot="1">
      <c r="A17" s="255"/>
      <c r="B17" s="259"/>
      <c r="C17" s="260" t="s">
        <v>102</v>
      </c>
      <c r="D17" s="261">
        <v>43</v>
      </c>
      <c r="E17" s="247"/>
      <c r="F17" s="259"/>
      <c r="G17" s="260" t="s">
        <v>32</v>
      </c>
      <c r="H17" s="261">
        <v>117</v>
      </c>
      <c r="I17" s="276"/>
      <c r="J17" s="259"/>
      <c r="K17" s="260" t="s">
        <v>115</v>
      </c>
      <c r="L17" s="261">
        <v>48</v>
      </c>
      <c r="M17" s="255"/>
      <c r="N17" s="259"/>
      <c r="O17" s="260" t="s">
        <v>65</v>
      </c>
      <c r="P17" s="264">
        <v>37</v>
      </c>
      <c r="Q17" s="265"/>
      <c r="R17" s="259"/>
      <c r="S17" s="242" t="s">
        <v>170</v>
      </c>
      <c r="T17" s="282">
        <v>71</v>
      </c>
      <c r="U17" s="260"/>
      <c r="V17" s="99"/>
      <c r="W17" s="262" t="s">
        <v>116</v>
      </c>
      <c r="X17" s="264">
        <v>54</v>
      </c>
      <c r="Y17" s="247"/>
      <c r="Z17" s="259"/>
      <c r="AA17" s="260" t="s">
        <v>54</v>
      </c>
      <c r="AB17" s="261">
        <v>71</v>
      </c>
    </row>
    <row r="18" spans="1:28" ht="62.25" customHeight="1" thickBot="1">
      <c r="A18" s="95" t="s">
        <v>3</v>
      </c>
      <c r="B18" s="96">
        <f>SUM(B13:B17)</f>
        <v>647</v>
      </c>
      <c r="C18" s="95" t="s">
        <v>3</v>
      </c>
      <c r="D18" s="97">
        <f>SUM(D13:D17)</f>
        <v>249</v>
      </c>
      <c r="E18" s="95" t="s">
        <v>3</v>
      </c>
      <c r="F18" s="96">
        <f>SUM(F13:F17)</f>
        <v>1052</v>
      </c>
      <c r="G18" s="95" t="s">
        <v>3</v>
      </c>
      <c r="H18" s="97">
        <f>SUM(H13:H17)</f>
        <v>246</v>
      </c>
      <c r="I18" s="95" t="s">
        <v>3</v>
      </c>
      <c r="J18" s="96">
        <f>SUM(J13:J17)</f>
        <v>620</v>
      </c>
      <c r="K18" s="95" t="s">
        <v>3</v>
      </c>
      <c r="L18" s="97">
        <f>SUM(L13:L17)</f>
        <v>149</v>
      </c>
      <c r="M18" s="95" t="s">
        <v>3</v>
      </c>
      <c r="N18" s="96">
        <f>SUM(N13:N16)</f>
        <v>808</v>
      </c>
      <c r="O18" s="95" t="s">
        <v>3</v>
      </c>
      <c r="P18" s="97">
        <f>SUM(P13:P17)</f>
        <v>166</v>
      </c>
      <c r="Q18" s="95" t="s">
        <v>3</v>
      </c>
      <c r="R18" s="96">
        <f>SUM(R13:R17)</f>
        <v>1032</v>
      </c>
      <c r="S18" s="95" t="s">
        <v>3</v>
      </c>
      <c r="T18" s="97">
        <f>SUM(T13:T17)</f>
        <v>168</v>
      </c>
      <c r="U18" s="100" t="s">
        <v>3</v>
      </c>
      <c r="V18" s="96">
        <f>SUM(V13:V16)</f>
        <v>731</v>
      </c>
      <c r="W18" s="95" t="s">
        <v>3</v>
      </c>
      <c r="X18" s="98">
        <f>SUM(X13:X17)</f>
        <v>196</v>
      </c>
      <c r="Y18" s="95" t="s">
        <v>3</v>
      </c>
      <c r="Z18" s="97">
        <f>SUM(Z13:Z16)</f>
        <v>776</v>
      </c>
      <c r="AA18" s="95" t="s">
        <v>3</v>
      </c>
      <c r="AB18" s="98">
        <f>SUM(AB13:AB17)</f>
        <v>235</v>
      </c>
    </row>
    <row r="19" spans="1:28" ht="12.75" customHeight="1" thickBot="1">
      <c r="A19" s="14"/>
      <c r="B19" s="1"/>
      <c r="C19" s="2"/>
      <c r="D19" s="1"/>
      <c r="E19" s="2"/>
      <c r="F19" s="1"/>
      <c r="G19" s="2"/>
      <c r="H19" s="1"/>
      <c r="I19" s="2"/>
      <c r="J19" s="1"/>
      <c r="K19" s="2"/>
      <c r="L19" s="1"/>
      <c r="M19" s="2"/>
      <c r="N19" s="1"/>
      <c r="O19" s="2"/>
      <c r="P19" s="1"/>
      <c r="Q19" s="2"/>
      <c r="R19" s="1"/>
      <c r="S19" s="2"/>
      <c r="T19" s="1"/>
      <c r="U19" s="2"/>
      <c r="V19" s="1"/>
      <c r="W19" s="2"/>
      <c r="X19" s="1"/>
      <c r="Y19" s="2"/>
      <c r="Z19" s="1"/>
      <c r="AA19" s="2"/>
      <c r="AB19" s="15"/>
    </row>
    <row r="20" spans="1:28" ht="78.75" customHeight="1" thickBot="1">
      <c r="A20" s="313" t="s">
        <v>108</v>
      </c>
      <c r="B20" s="314"/>
      <c r="C20" s="314"/>
      <c r="D20" s="315"/>
      <c r="E20" s="313" t="s">
        <v>117</v>
      </c>
      <c r="F20" s="314"/>
      <c r="G20" s="314"/>
      <c r="H20" s="315"/>
      <c r="I20" s="313" t="s">
        <v>118</v>
      </c>
      <c r="J20" s="314"/>
      <c r="K20" s="314"/>
      <c r="L20" s="315"/>
      <c r="M20" s="313" t="s">
        <v>119</v>
      </c>
      <c r="N20" s="314"/>
      <c r="O20" s="314"/>
      <c r="P20" s="315"/>
      <c r="Q20" s="313" t="s">
        <v>120</v>
      </c>
      <c r="R20" s="314"/>
      <c r="S20" s="314"/>
      <c r="T20" s="315"/>
      <c r="U20" s="313" t="s">
        <v>121</v>
      </c>
      <c r="V20" s="314"/>
      <c r="W20" s="314"/>
      <c r="X20" s="315"/>
      <c r="Y20" s="313" t="s">
        <v>122</v>
      </c>
      <c r="Z20" s="314"/>
      <c r="AA20" s="314"/>
      <c r="AB20" s="315"/>
    </row>
    <row r="21" spans="1:28" ht="45" customHeight="1">
      <c r="A21" s="102" t="s">
        <v>0</v>
      </c>
      <c r="B21" s="103" t="s">
        <v>1</v>
      </c>
      <c r="C21" s="104" t="s">
        <v>2</v>
      </c>
      <c r="D21" s="105" t="s">
        <v>1</v>
      </c>
      <c r="E21" s="102" t="s">
        <v>0</v>
      </c>
      <c r="F21" s="103" t="s">
        <v>1</v>
      </c>
      <c r="G21" s="104" t="s">
        <v>2</v>
      </c>
      <c r="H21" s="105" t="s">
        <v>1</v>
      </c>
      <c r="I21" s="90" t="s">
        <v>0</v>
      </c>
      <c r="J21" s="103" t="s">
        <v>1</v>
      </c>
      <c r="K21" s="104" t="s">
        <v>2</v>
      </c>
      <c r="L21" s="105" t="s">
        <v>1</v>
      </c>
      <c r="M21" s="102" t="s">
        <v>0</v>
      </c>
      <c r="N21" s="103" t="s">
        <v>1</v>
      </c>
      <c r="O21" s="104" t="s">
        <v>2</v>
      </c>
      <c r="P21" s="105" t="s">
        <v>1</v>
      </c>
      <c r="Q21" s="107" t="s">
        <v>0</v>
      </c>
      <c r="R21" s="103" t="s">
        <v>1</v>
      </c>
      <c r="S21" s="104" t="s">
        <v>2</v>
      </c>
      <c r="T21" s="105" t="s">
        <v>1</v>
      </c>
      <c r="U21" s="102" t="s">
        <v>0</v>
      </c>
      <c r="V21" s="103" t="s">
        <v>1</v>
      </c>
      <c r="W21" s="104" t="s">
        <v>2</v>
      </c>
      <c r="X21" s="108" t="s">
        <v>1</v>
      </c>
      <c r="Y21" s="102" t="s">
        <v>0</v>
      </c>
      <c r="Z21" s="103" t="s">
        <v>1</v>
      </c>
      <c r="AA21" s="104" t="s">
        <v>2</v>
      </c>
      <c r="AB21" s="105" t="s">
        <v>1</v>
      </c>
    </row>
    <row r="22" spans="1:28" ht="105.75" customHeight="1">
      <c r="A22" s="247" t="s">
        <v>27</v>
      </c>
      <c r="B22" s="259">
        <v>125</v>
      </c>
      <c r="C22" s="260" t="s">
        <v>30</v>
      </c>
      <c r="D22" s="261">
        <v>21</v>
      </c>
      <c r="E22" s="247" t="s">
        <v>197</v>
      </c>
      <c r="F22" s="259">
        <v>89</v>
      </c>
      <c r="G22" s="260" t="s">
        <v>47</v>
      </c>
      <c r="H22" s="261">
        <v>24</v>
      </c>
      <c r="I22" s="247" t="s">
        <v>48</v>
      </c>
      <c r="J22" s="259">
        <v>137</v>
      </c>
      <c r="K22" s="260" t="s">
        <v>214</v>
      </c>
      <c r="L22" s="261">
        <v>29</v>
      </c>
      <c r="M22" s="262" t="s">
        <v>45</v>
      </c>
      <c r="N22" s="263">
        <v>119</v>
      </c>
      <c r="O22" s="260" t="s">
        <v>24</v>
      </c>
      <c r="P22" s="261">
        <v>39</v>
      </c>
      <c r="Q22" s="247" t="s">
        <v>104</v>
      </c>
      <c r="R22" s="259">
        <v>181</v>
      </c>
      <c r="S22" s="260" t="s">
        <v>116</v>
      </c>
      <c r="T22" s="261">
        <v>54</v>
      </c>
      <c r="U22" s="247" t="s">
        <v>61</v>
      </c>
      <c r="V22" s="259">
        <v>95</v>
      </c>
      <c r="W22" s="260" t="s">
        <v>30</v>
      </c>
      <c r="X22" s="264">
        <v>21</v>
      </c>
      <c r="Y22" s="265" t="s">
        <v>48</v>
      </c>
      <c r="Z22" s="259">
        <v>137</v>
      </c>
      <c r="AA22" s="260" t="s">
        <v>46</v>
      </c>
      <c r="AB22" s="261">
        <v>42</v>
      </c>
    </row>
    <row r="23" spans="1:28" ht="143.25" customHeight="1">
      <c r="A23" s="247" t="s">
        <v>211</v>
      </c>
      <c r="B23" s="259">
        <v>358</v>
      </c>
      <c r="C23" s="260" t="s">
        <v>218</v>
      </c>
      <c r="D23" s="261">
        <v>75</v>
      </c>
      <c r="E23" s="247" t="s">
        <v>52</v>
      </c>
      <c r="F23" s="259">
        <v>286</v>
      </c>
      <c r="G23" s="260" t="s">
        <v>23</v>
      </c>
      <c r="H23" s="261">
        <v>12</v>
      </c>
      <c r="I23" s="266" t="s">
        <v>216</v>
      </c>
      <c r="J23" s="259">
        <v>252</v>
      </c>
      <c r="K23" s="260" t="s">
        <v>219</v>
      </c>
      <c r="L23" s="261">
        <v>22</v>
      </c>
      <c r="M23" s="247" t="s">
        <v>165</v>
      </c>
      <c r="N23" s="259">
        <v>235</v>
      </c>
      <c r="O23" s="260" t="s">
        <v>93</v>
      </c>
      <c r="P23" s="261">
        <v>54</v>
      </c>
      <c r="Q23" s="247" t="s">
        <v>98</v>
      </c>
      <c r="R23" s="259">
        <v>301</v>
      </c>
      <c r="S23" s="260" t="s">
        <v>47</v>
      </c>
      <c r="T23" s="261">
        <v>24</v>
      </c>
      <c r="U23" s="262" t="s">
        <v>222</v>
      </c>
      <c r="V23" s="259">
        <v>208</v>
      </c>
      <c r="W23" s="260" t="s">
        <v>63</v>
      </c>
      <c r="X23" s="264">
        <v>7</v>
      </c>
      <c r="Y23" s="247" t="s">
        <v>213</v>
      </c>
      <c r="Z23" s="259">
        <v>332</v>
      </c>
      <c r="AA23" s="262" t="s">
        <v>50</v>
      </c>
      <c r="AB23" s="261">
        <v>68</v>
      </c>
    </row>
    <row r="24" spans="1:28" ht="109.5" customHeight="1">
      <c r="A24" s="247" t="s">
        <v>105</v>
      </c>
      <c r="B24" s="259">
        <v>342</v>
      </c>
      <c r="C24" s="260" t="s">
        <v>28</v>
      </c>
      <c r="D24" s="261">
        <v>8</v>
      </c>
      <c r="E24" s="247" t="s">
        <v>53</v>
      </c>
      <c r="F24" s="259">
        <v>256</v>
      </c>
      <c r="G24" s="260" t="s">
        <v>56</v>
      </c>
      <c r="H24" s="261">
        <v>76</v>
      </c>
      <c r="I24" s="247" t="s">
        <v>176</v>
      </c>
      <c r="J24" s="259">
        <v>227</v>
      </c>
      <c r="K24" s="260" t="s">
        <v>166</v>
      </c>
      <c r="L24" s="261">
        <v>72</v>
      </c>
      <c r="M24" s="247" t="s">
        <v>174</v>
      </c>
      <c r="N24" s="259">
        <v>257</v>
      </c>
      <c r="O24" s="260" t="s">
        <v>148</v>
      </c>
      <c r="P24" s="261">
        <v>48</v>
      </c>
      <c r="Q24" s="247" t="s">
        <v>179</v>
      </c>
      <c r="R24" s="259">
        <v>281</v>
      </c>
      <c r="S24" s="260" t="s">
        <v>39</v>
      </c>
      <c r="T24" s="261">
        <v>11</v>
      </c>
      <c r="U24" s="247" t="s">
        <v>178</v>
      </c>
      <c r="V24" s="259">
        <v>226</v>
      </c>
      <c r="W24" s="267" t="s">
        <v>49</v>
      </c>
      <c r="X24" s="268">
        <v>41</v>
      </c>
      <c r="Y24" s="247" t="s">
        <v>53</v>
      </c>
      <c r="Z24" s="259">
        <v>256</v>
      </c>
      <c r="AA24" s="260" t="s">
        <v>47</v>
      </c>
      <c r="AB24" s="261">
        <v>24</v>
      </c>
    </row>
    <row r="25" spans="1:28" ht="96.75" customHeight="1">
      <c r="A25" s="247" t="s">
        <v>37</v>
      </c>
      <c r="B25" s="259">
        <v>110</v>
      </c>
      <c r="C25" s="260" t="s">
        <v>83</v>
      </c>
      <c r="D25" s="261">
        <v>29</v>
      </c>
      <c r="E25" s="247" t="s">
        <v>66</v>
      </c>
      <c r="F25" s="259">
        <v>64</v>
      </c>
      <c r="G25" s="262" t="s">
        <v>49</v>
      </c>
      <c r="H25" s="261">
        <v>41</v>
      </c>
      <c r="I25" s="255" t="s">
        <v>86</v>
      </c>
      <c r="J25" s="259">
        <v>99</v>
      </c>
      <c r="K25" s="260" t="s">
        <v>217</v>
      </c>
      <c r="L25" s="268">
        <v>82</v>
      </c>
      <c r="M25" s="247" t="s">
        <v>149</v>
      </c>
      <c r="N25" s="259">
        <v>287</v>
      </c>
      <c r="O25" s="260" t="s">
        <v>36</v>
      </c>
      <c r="P25" s="261">
        <v>8</v>
      </c>
      <c r="Q25" s="247" t="s">
        <v>41</v>
      </c>
      <c r="R25" s="259">
        <v>75</v>
      </c>
      <c r="S25" s="260" t="s">
        <v>57</v>
      </c>
      <c r="T25" s="264">
        <v>87</v>
      </c>
      <c r="U25" s="255" t="s">
        <v>62</v>
      </c>
      <c r="V25" s="259">
        <v>180</v>
      </c>
      <c r="W25" s="260" t="s">
        <v>143</v>
      </c>
      <c r="X25" s="264">
        <v>81</v>
      </c>
      <c r="Y25" s="269" t="s">
        <v>81</v>
      </c>
      <c r="Z25" s="128">
        <v>103</v>
      </c>
      <c r="AA25" s="260" t="s">
        <v>43</v>
      </c>
      <c r="AB25" s="261">
        <v>8</v>
      </c>
    </row>
    <row r="26" spans="1:28" ht="99" customHeight="1" thickBot="1">
      <c r="A26" s="255"/>
      <c r="B26" s="259"/>
      <c r="C26" s="260" t="s">
        <v>50</v>
      </c>
      <c r="D26" s="261">
        <v>68</v>
      </c>
      <c r="E26" s="247"/>
      <c r="F26" s="259"/>
      <c r="G26" s="260" t="s">
        <v>31</v>
      </c>
      <c r="H26" s="261">
        <v>75</v>
      </c>
      <c r="I26" s="276"/>
      <c r="J26" s="259"/>
      <c r="K26" s="260" t="s">
        <v>215</v>
      </c>
      <c r="L26" s="261">
        <v>138</v>
      </c>
      <c r="M26" s="255"/>
      <c r="N26" s="259"/>
      <c r="O26" s="260" t="s">
        <v>170</v>
      </c>
      <c r="P26" s="264">
        <v>71</v>
      </c>
      <c r="Q26" s="265"/>
      <c r="R26" s="259"/>
      <c r="S26" s="242" t="s">
        <v>200</v>
      </c>
      <c r="T26" s="270">
        <v>41</v>
      </c>
      <c r="U26" s="260"/>
      <c r="V26" s="99"/>
      <c r="W26" s="262" t="s">
        <v>31</v>
      </c>
      <c r="X26" s="264">
        <v>75</v>
      </c>
      <c r="Y26" s="271"/>
      <c r="Z26" s="259"/>
      <c r="AA26" s="260" t="s">
        <v>102</v>
      </c>
      <c r="AB26" s="261">
        <v>43</v>
      </c>
    </row>
    <row r="27" spans="1:28" ht="60" customHeight="1" thickBot="1">
      <c r="A27" s="145" t="s">
        <v>3</v>
      </c>
      <c r="B27" s="146">
        <f>SUM(B22:B26)</f>
        <v>935</v>
      </c>
      <c r="C27" s="145" t="s">
        <v>3</v>
      </c>
      <c r="D27" s="147">
        <f>SUM(D22:D26)</f>
        <v>201</v>
      </c>
      <c r="E27" s="145" t="s">
        <v>3</v>
      </c>
      <c r="F27" s="146">
        <f>SUM(F22:F26)</f>
        <v>695</v>
      </c>
      <c r="G27" s="145" t="s">
        <v>3</v>
      </c>
      <c r="H27" s="147">
        <f>SUM(H22:H26)</f>
        <v>228</v>
      </c>
      <c r="I27" s="145" t="s">
        <v>3</v>
      </c>
      <c r="J27" s="146">
        <f>SUM(J22:J26)</f>
        <v>715</v>
      </c>
      <c r="K27" s="145" t="s">
        <v>3</v>
      </c>
      <c r="L27" s="147">
        <f>SUM(L22:L26)</f>
        <v>343</v>
      </c>
      <c r="M27" s="145" t="s">
        <v>3</v>
      </c>
      <c r="N27" s="146">
        <f>SUM(N22:N26)</f>
        <v>898</v>
      </c>
      <c r="O27" s="145" t="s">
        <v>3</v>
      </c>
      <c r="P27" s="147">
        <f>SUM(P22:P26)</f>
        <v>220</v>
      </c>
      <c r="Q27" s="145" t="s">
        <v>3</v>
      </c>
      <c r="R27" s="146">
        <f>SUM(R22:R26)</f>
        <v>838</v>
      </c>
      <c r="S27" s="145" t="s">
        <v>3</v>
      </c>
      <c r="T27" s="147">
        <f>SUM(T22:T26)</f>
        <v>217</v>
      </c>
      <c r="U27" s="145" t="s">
        <v>3</v>
      </c>
      <c r="V27" s="146">
        <f>SUM(V22:V26)</f>
        <v>709</v>
      </c>
      <c r="W27" s="145" t="s">
        <v>3</v>
      </c>
      <c r="X27" s="147">
        <f>SUM(X22:X26)</f>
        <v>225</v>
      </c>
      <c r="Y27" s="145" t="s">
        <v>3</v>
      </c>
      <c r="Z27" s="146">
        <f>SUM(Z22:Z26)</f>
        <v>828</v>
      </c>
      <c r="AA27" s="145" t="s">
        <v>3</v>
      </c>
      <c r="AB27" s="147">
        <f>SUM(AB22:AB26)</f>
        <v>185</v>
      </c>
    </row>
    <row r="28" spans="1:28" ht="12.75" customHeight="1" thickBot="1">
      <c r="A28" s="149"/>
      <c r="B28" s="150"/>
      <c r="C28" s="151"/>
      <c r="D28" s="150"/>
      <c r="E28" s="152"/>
      <c r="F28" s="153"/>
      <c r="G28" s="152"/>
      <c r="H28" s="153"/>
      <c r="I28" s="152"/>
      <c r="J28" s="153"/>
      <c r="K28" s="152"/>
      <c r="L28" s="153"/>
      <c r="M28" s="152"/>
      <c r="N28" s="153"/>
      <c r="O28" s="152"/>
      <c r="P28" s="153"/>
      <c r="Q28" s="152"/>
      <c r="R28" s="153"/>
      <c r="S28" s="152"/>
      <c r="T28" s="153"/>
      <c r="U28" s="152"/>
      <c r="V28" s="153"/>
      <c r="W28" s="152"/>
      <c r="X28" s="153"/>
      <c r="Y28" s="152"/>
      <c r="Z28" s="153"/>
      <c r="AA28" s="152"/>
      <c r="AB28" s="154"/>
    </row>
    <row r="29" spans="1:28" ht="72.75" customHeight="1" thickBot="1">
      <c r="A29" s="295" t="s">
        <v>109</v>
      </c>
      <c r="B29" s="296"/>
      <c r="C29" s="296"/>
      <c r="D29" s="297"/>
      <c r="E29" s="305" t="s">
        <v>159</v>
      </c>
      <c r="F29" s="306"/>
      <c r="G29" s="306"/>
      <c r="H29" s="307"/>
      <c r="I29" s="295" t="s">
        <v>193</v>
      </c>
      <c r="J29" s="296"/>
      <c r="K29" s="296"/>
      <c r="L29" s="297"/>
      <c r="M29" s="295" t="s">
        <v>161</v>
      </c>
      <c r="N29" s="296"/>
      <c r="O29" s="296"/>
      <c r="P29" s="297"/>
      <c r="Q29" s="295" t="s">
        <v>162</v>
      </c>
      <c r="R29" s="296"/>
      <c r="S29" s="296"/>
      <c r="T29" s="297"/>
      <c r="U29" s="295" t="s">
        <v>163</v>
      </c>
      <c r="V29" s="296"/>
      <c r="W29" s="296"/>
      <c r="X29" s="297"/>
      <c r="Y29" s="295" t="s">
        <v>164</v>
      </c>
      <c r="Z29" s="296"/>
      <c r="AA29" s="296"/>
      <c r="AB29" s="298"/>
    </row>
    <row r="30" spans="1:28" ht="45" customHeight="1">
      <c r="A30" s="129" t="s">
        <v>0</v>
      </c>
      <c r="B30" s="130" t="s">
        <v>1</v>
      </c>
      <c r="C30" s="131" t="s">
        <v>2</v>
      </c>
      <c r="D30" s="132" t="s">
        <v>1</v>
      </c>
      <c r="E30" s="129" t="s">
        <v>0</v>
      </c>
      <c r="F30" s="130" t="s">
        <v>1</v>
      </c>
      <c r="G30" s="131" t="s">
        <v>2</v>
      </c>
      <c r="H30" s="132" t="s">
        <v>1</v>
      </c>
      <c r="I30" s="129" t="s">
        <v>0</v>
      </c>
      <c r="J30" s="130" t="s">
        <v>1</v>
      </c>
      <c r="K30" s="131" t="s">
        <v>2</v>
      </c>
      <c r="L30" s="132" t="s">
        <v>1</v>
      </c>
      <c r="M30" s="129" t="s">
        <v>0</v>
      </c>
      <c r="N30" s="130" t="s">
        <v>1</v>
      </c>
      <c r="O30" s="131" t="s">
        <v>2</v>
      </c>
      <c r="P30" s="132" t="s">
        <v>1</v>
      </c>
      <c r="Q30" s="129" t="s">
        <v>0</v>
      </c>
      <c r="R30" s="130" t="s">
        <v>1</v>
      </c>
      <c r="S30" s="131" t="s">
        <v>2</v>
      </c>
      <c r="T30" s="132" t="s">
        <v>1</v>
      </c>
      <c r="U30" s="129" t="s">
        <v>0</v>
      </c>
      <c r="V30" s="130" t="s">
        <v>1</v>
      </c>
      <c r="W30" s="131" t="s">
        <v>2</v>
      </c>
      <c r="X30" s="133" t="s">
        <v>1</v>
      </c>
      <c r="Y30" s="129" t="s">
        <v>0</v>
      </c>
      <c r="Z30" s="130" t="s">
        <v>1</v>
      </c>
      <c r="AA30" s="131" t="s">
        <v>2</v>
      </c>
      <c r="AB30" s="132" t="s">
        <v>1</v>
      </c>
    </row>
    <row r="31" spans="1:28" ht="103.5" customHeight="1">
      <c r="A31" s="265" t="s">
        <v>155</v>
      </c>
      <c r="B31" s="259">
        <v>141</v>
      </c>
      <c r="C31" s="260" t="s">
        <v>23</v>
      </c>
      <c r="D31" s="264">
        <v>12</v>
      </c>
      <c r="E31" s="247" t="s">
        <v>27</v>
      </c>
      <c r="F31" s="259">
        <v>125</v>
      </c>
      <c r="G31" s="260" t="s">
        <v>173</v>
      </c>
      <c r="H31" s="261">
        <v>55</v>
      </c>
      <c r="I31" s="247" t="s">
        <v>45</v>
      </c>
      <c r="J31" s="259">
        <v>119</v>
      </c>
      <c r="K31" s="260" t="s">
        <v>25</v>
      </c>
      <c r="L31" s="261">
        <v>51</v>
      </c>
      <c r="M31" s="247" t="s">
        <v>48</v>
      </c>
      <c r="N31" s="259">
        <v>137</v>
      </c>
      <c r="O31" s="260" t="s">
        <v>113</v>
      </c>
      <c r="P31" s="261">
        <v>24</v>
      </c>
      <c r="Q31" s="247" t="s">
        <v>104</v>
      </c>
      <c r="R31" s="263">
        <v>181</v>
      </c>
      <c r="S31" s="260" t="s">
        <v>82</v>
      </c>
      <c r="T31" s="261">
        <v>10</v>
      </c>
      <c r="U31" s="247" t="s">
        <v>168</v>
      </c>
      <c r="V31" s="259">
        <v>143</v>
      </c>
      <c r="W31" s="260" t="s">
        <v>115</v>
      </c>
      <c r="X31" s="261">
        <v>48</v>
      </c>
      <c r="Y31" s="247" t="s">
        <v>27</v>
      </c>
      <c r="Z31" s="259">
        <v>125</v>
      </c>
      <c r="AA31" s="260" t="s">
        <v>47</v>
      </c>
      <c r="AB31" s="261">
        <v>24</v>
      </c>
    </row>
    <row r="32" spans="1:28" ht="143.25" customHeight="1">
      <c r="A32" s="273" t="s">
        <v>92</v>
      </c>
      <c r="B32" s="259">
        <v>112</v>
      </c>
      <c r="C32" s="260" t="s">
        <v>220</v>
      </c>
      <c r="D32" s="261">
        <v>34</v>
      </c>
      <c r="E32" s="247" t="s">
        <v>192</v>
      </c>
      <c r="F32" s="259">
        <v>331</v>
      </c>
      <c r="G32" s="260" t="s">
        <v>28</v>
      </c>
      <c r="H32" s="261">
        <v>8</v>
      </c>
      <c r="I32" s="274" t="s">
        <v>64</v>
      </c>
      <c r="J32" s="259">
        <v>301</v>
      </c>
      <c r="K32" s="260" t="s">
        <v>50</v>
      </c>
      <c r="L32" s="261">
        <v>68</v>
      </c>
      <c r="M32" s="247" t="s">
        <v>147</v>
      </c>
      <c r="N32" s="259">
        <v>284</v>
      </c>
      <c r="O32" s="260" t="s">
        <v>23</v>
      </c>
      <c r="P32" s="261">
        <v>12</v>
      </c>
      <c r="Q32" s="247" t="s">
        <v>194</v>
      </c>
      <c r="R32" s="259">
        <v>224</v>
      </c>
      <c r="S32" s="260" t="s">
        <v>143</v>
      </c>
      <c r="T32" s="261">
        <v>81</v>
      </c>
      <c r="U32" s="247" t="s">
        <v>223</v>
      </c>
      <c r="V32" s="259">
        <v>218</v>
      </c>
      <c r="W32" s="260" t="s">
        <v>24</v>
      </c>
      <c r="X32" s="261">
        <v>39</v>
      </c>
      <c r="Y32" s="266" t="s">
        <v>153</v>
      </c>
      <c r="Z32" s="268">
        <v>338</v>
      </c>
      <c r="AA32" s="260" t="s">
        <v>39</v>
      </c>
      <c r="AB32" s="261">
        <v>11</v>
      </c>
    </row>
    <row r="33" spans="1:28" ht="110.25" customHeight="1">
      <c r="A33" s="247" t="s">
        <v>99</v>
      </c>
      <c r="B33" s="259">
        <v>302</v>
      </c>
      <c r="C33" s="260" t="s">
        <v>83</v>
      </c>
      <c r="D33" s="264">
        <v>29</v>
      </c>
      <c r="E33" s="247" t="s">
        <v>44</v>
      </c>
      <c r="F33" s="259">
        <v>258</v>
      </c>
      <c r="G33" s="260" t="s">
        <v>93</v>
      </c>
      <c r="H33" s="261">
        <v>54</v>
      </c>
      <c r="I33" s="247" t="s">
        <v>225</v>
      </c>
      <c r="J33" s="259">
        <v>221</v>
      </c>
      <c r="K33" s="260" t="s">
        <v>24</v>
      </c>
      <c r="L33" s="261">
        <v>39</v>
      </c>
      <c r="M33" s="247" t="s">
        <v>209</v>
      </c>
      <c r="N33" s="259">
        <v>284</v>
      </c>
      <c r="O33" s="260" t="s">
        <v>28</v>
      </c>
      <c r="P33" s="261">
        <v>8</v>
      </c>
      <c r="Q33" s="247" t="s">
        <v>53</v>
      </c>
      <c r="R33" s="259">
        <v>256</v>
      </c>
      <c r="S33" s="260" t="s">
        <v>91</v>
      </c>
      <c r="T33" s="261">
        <v>23</v>
      </c>
      <c r="U33" s="247" t="s">
        <v>198</v>
      </c>
      <c r="V33" s="259">
        <v>229</v>
      </c>
      <c r="W33" s="260" t="s">
        <v>63</v>
      </c>
      <c r="X33" s="261">
        <v>7</v>
      </c>
      <c r="Y33" s="247" t="s">
        <v>174</v>
      </c>
      <c r="Z33" s="259">
        <v>257</v>
      </c>
      <c r="AA33" s="260" t="s">
        <v>85</v>
      </c>
      <c r="AB33" s="261">
        <v>54</v>
      </c>
    </row>
    <row r="34" spans="1:28" ht="96" customHeight="1">
      <c r="A34" s="247" t="s">
        <v>172</v>
      </c>
      <c r="B34" s="259">
        <v>287</v>
      </c>
      <c r="C34" s="260" t="s">
        <v>141</v>
      </c>
      <c r="D34" s="261">
        <v>72</v>
      </c>
      <c r="E34" s="280" t="s">
        <v>37</v>
      </c>
      <c r="F34" s="128">
        <v>110</v>
      </c>
      <c r="G34" s="260" t="s">
        <v>47</v>
      </c>
      <c r="H34" s="261">
        <v>24</v>
      </c>
      <c r="I34" s="266" t="s">
        <v>90</v>
      </c>
      <c r="J34" s="268">
        <v>178</v>
      </c>
      <c r="K34" s="260" t="s">
        <v>83</v>
      </c>
      <c r="L34" s="261">
        <v>29</v>
      </c>
      <c r="M34" s="281" t="s">
        <v>86</v>
      </c>
      <c r="N34" s="275">
        <v>99</v>
      </c>
      <c r="O34" s="260" t="s">
        <v>148</v>
      </c>
      <c r="P34" s="261">
        <v>48</v>
      </c>
      <c r="Q34" s="247" t="s">
        <v>62</v>
      </c>
      <c r="R34" s="259">
        <v>180</v>
      </c>
      <c r="S34" s="260" t="s">
        <v>49</v>
      </c>
      <c r="T34" s="261">
        <v>41</v>
      </c>
      <c r="U34" s="280" t="s">
        <v>42</v>
      </c>
      <c r="V34" s="259">
        <v>92</v>
      </c>
      <c r="W34" s="260" t="s">
        <v>36</v>
      </c>
      <c r="X34" s="261">
        <v>8</v>
      </c>
      <c r="Y34" s="247" t="s">
        <v>167</v>
      </c>
      <c r="Z34" s="259">
        <v>326</v>
      </c>
      <c r="AA34" s="260" t="s">
        <v>89</v>
      </c>
      <c r="AB34" s="261">
        <v>42</v>
      </c>
    </row>
    <row r="35" spans="1:28" ht="98.25" customHeight="1" thickBot="1">
      <c r="A35" s="247"/>
      <c r="B35" s="259"/>
      <c r="C35" s="260" t="s">
        <v>56</v>
      </c>
      <c r="D35" s="264">
        <v>76</v>
      </c>
      <c r="E35" s="247"/>
      <c r="F35" s="259"/>
      <c r="G35" s="260" t="s">
        <v>144</v>
      </c>
      <c r="H35" s="261">
        <v>98</v>
      </c>
      <c r="I35" s="247"/>
      <c r="J35" s="259"/>
      <c r="K35" s="260" t="s">
        <v>170</v>
      </c>
      <c r="L35" s="261">
        <v>71</v>
      </c>
      <c r="M35" s="247"/>
      <c r="N35" s="259"/>
      <c r="O35" s="260" t="s">
        <v>32</v>
      </c>
      <c r="P35" s="261">
        <v>117</v>
      </c>
      <c r="Q35" s="283"/>
      <c r="R35" s="284"/>
      <c r="S35" s="260" t="s">
        <v>100</v>
      </c>
      <c r="T35" s="261">
        <v>36</v>
      </c>
      <c r="U35" s="247"/>
      <c r="V35" s="259"/>
      <c r="W35" s="260" t="s">
        <v>31</v>
      </c>
      <c r="X35" s="261">
        <v>75</v>
      </c>
      <c r="Y35" s="272"/>
      <c r="Z35" s="109"/>
      <c r="AA35" s="260" t="s">
        <v>56</v>
      </c>
      <c r="AB35" s="261">
        <v>76</v>
      </c>
    </row>
    <row r="36" spans="1:28" ht="63" customHeight="1" thickBot="1">
      <c r="A36" s="95" t="s">
        <v>3</v>
      </c>
      <c r="B36" s="96">
        <f>SUM(B31:B34)</f>
        <v>842</v>
      </c>
      <c r="C36" s="95" t="s">
        <v>3</v>
      </c>
      <c r="D36" s="98">
        <f>SUM(D31:D35)</f>
        <v>223</v>
      </c>
      <c r="E36" s="95" t="s">
        <v>3</v>
      </c>
      <c r="F36" s="96">
        <f>SUM(F31:F34)</f>
        <v>824</v>
      </c>
      <c r="G36" s="95" t="s">
        <v>3</v>
      </c>
      <c r="H36" s="98">
        <f>SUM(H31:H35)</f>
        <v>239</v>
      </c>
      <c r="I36" s="95" t="s">
        <v>3</v>
      </c>
      <c r="J36" s="96">
        <f>SUM(J31:J34)</f>
        <v>819</v>
      </c>
      <c r="K36" s="95" t="s">
        <v>3</v>
      </c>
      <c r="L36" s="98">
        <f>SUM(L31:L35)</f>
        <v>258</v>
      </c>
      <c r="M36" s="95" t="s">
        <v>3</v>
      </c>
      <c r="N36" s="96">
        <f>SUM(N31:N34)</f>
        <v>804</v>
      </c>
      <c r="O36" s="95" t="s">
        <v>3</v>
      </c>
      <c r="P36" s="98">
        <f>SUM(P31:P35)</f>
        <v>209</v>
      </c>
      <c r="Q36" s="95" t="s">
        <v>3</v>
      </c>
      <c r="R36" s="96">
        <f>SUM(R31:R34)</f>
        <v>841</v>
      </c>
      <c r="S36" s="95" t="s">
        <v>3</v>
      </c>
      <c r="T36" s="98">
        <f>SUM(T31:T35)</f>
        <v>191</v>
      </c>
      <c r="U36" s="95" t="s">
        <v>3</v>
      </c>
      <c r="V36" s="96">
        <f>SUM(V31:V34)</f>
        <v>682</v>
      </c>
      <c r="W36" s="95" t="s">
        <v>3</v>
      </c>
      <c r="X36" s="98">
        <f>SUM(X31:X35)</f>
        <v>177</v>
      </c>
      <c r="Y36" s="95" t="s">
        <v>3</v>
      </c>
      <c r="Z36" s="96">
        <f>SUM(Z31:Z34)</f>
        <v>1046</v>
      </c>
      <c r="AA36" s="95" t="s">
        <v>3</v>
      </c>
      <c r="AB36" s="98">
        <f>SUM(AB31:AB35)</f>
        <v>207</v>
      </c>
    </row>
    <row r="37" spans="1:28" ht="12.75" customHeight="1" thickBot="1">
      <c r="A37" s="14"/>
      <c r="B37" s="1"/>
      <c r="C37" s="2"/>
      <c r="D37" s="1"/>
      <c r="E37" s="2"/>
      <c r="F37" s="1"/>
      <c r="G37" s="2"/>
      <c r="H37" s="1"/>
      <c r="I37" s="50"/>
      <c r="J37" s="1"/>
      <c r="K37" s="2"/>
      <c r="L37" s="1"/>
      <c r="M37" s="2"/>
      <c r="N37" s="1"/>
      <c r="O37" s="2"/>
      <c r="P37" s="1"/>
      <c r="Q37" s="2"/>
      <c r="R37" s="1"/>
      <c r="S37" s="2"/>
      <c r="T37" s="1"/>
      <c r="U37" s="2"/>
      <c r="V37" s="1"/>
      <c r="W37" s="2"/>
      <c r="X37" s="1"/>
      <c r="Y37" s="2"/>
      <c r="Z37" s="1"/>
      <c r="AA37" s="2"/>
      <c r="AB37" s="15"/>
    </row>
    <row r="38" spans="1:28" ht="72.75" customHeight="1" thickBot="1">
      <c r="A38" s="299" t="s">
        <v>110</v>
      </c>
      <c r="B38" s="300"/>
      <c r="C38" s="300"/>
      <c r="D38" s="301"/>
      <c r="E38" s="299" t="s">
        <v>123</v>
      </c>
      <c r="F38" s="300"/>
      <c r="G38" s="300"/>
      <c r="H38" s="301"/>
      <c r="I38" s="302" t="s">
        <v>124</v>
      </c>
      <c r="J38" s="303"/>
      <c r="K38" s="303"/>
      <c r="L38" s="304"/>
      <c r="M38" s="302" t="s">
        <v>125</v>
      </c>
      <c r="N38" s="303"/>
      <c r="O38" s="303"/>
      <c r="P38" s="304"/>
      <c r="Q38" s="302" t="s">
        <v>126</v>
      </c>
      <c r="R38" s="303"/>
      <c r="S38" s="303"/>
      <c r="T38" s="304"/>
      <c r="U38" s="302" t="s">
        <v>127</v>
      </c>
      <c r="V38" s="303"/>
      <c r="W38" s="303"/>
      <c r="X38" s="304"/>
      <c r="Y38" s="299" t="s">
        <v>128</v>
      </c>
      <c r="Z38" s="300"/>
      <c r="AA38" s="300"/>
      <c r="AB38" s="301"/>
    </row>
    <row r="39" spans="1:28" ht="45" customHeight="1">
      <c r="A39" s="129" t="s">
        <v>0</v>
      </c>
      <c r="B39" s="130" t="s">
        <v>1</v>
      </c>
      <c r="C39" s="131" t="s">
        <v>2</v>
      </c>
      <c r="D39" s="133" t="s">
        <v>1</v>
      </c>
      <c r="E39" s="91" t="s">
        <v>0</v>
      </c>
      <c r="F39" s="92" t="s">
        <v>1</v>
      </c>
      <c r="G39" s="93" t="s">
        <v>2</v>
      </c>
      <c r="H39" s="94" t="s">
        <v>1</v>
      </c>
      <c r="I39" s="91" t="s">
        <v>0</v>
      </c>
      <c r="J39" s="92" t="s">
        <v>1</v>
      </c>
      <c r="K39" s="93" t="s">
        <v>2</v>
      </c>
      <c r="L39" s="94" t="s">
        <v>1</v>
      </c>
      <c r="M39" s="91" t="s">
        <v>0</v>
      </c>
      <c r="N39" s="92" t="s">
        <v>1</v>
      </c>
      <c r="O39" s="93" t="s">
        <v>2</v>
      </c>
      <c r="P39" s="94" t="s">
        <v>1</v>
      </c>
      <c r="Q39" s="91" t="s">
        <v>0</v>
      </c>
      <c r="R39" s="92" t="s">
        <v>1</v>
      </c>
      <c r="S39" s="93" t="s">
        <v>2</v>
      </c>
      <c r="T39" s="94" t="s">
        <v>1</v>
      </c>
      <c r="U39" s="91" t="s">
        <v>0</v>
      </c>
      <c r="V39" s="92" t="s">
        <v>1</v>
      </c>
      <c r="W39" s="93" t="s">
        <v>2</v>
      </c>
      <c r="X39" s="94" t="s">
        <v>1</v>
      </c>
      <c r="Y39" s="91" t="s">
        <v>0</v>
      </c>
      <c r="Z39" s="92" t="s">
        <v>1</v>
      </c>
      <c r="AA39" s="93" t="s">
        <v>2</v>
      </c>
      <c r="AB39" s="94" t="s">
        <v>1</v>
      </c>
    </row>
    <row r="40" spans="1:28" ht="105" customHeight="1">
      <c r="A40" s="265" t="s">
        <v>45</v>
      </c>
      <c r="B40" s="259">
        <v>119</v>
      </c>
      <c r="C40" s="260" t="s">
        <v>166</v>
      </c>
      <c r="D40" s="264">
        <v>72</v>
      </c>
      <c r="E40" s="247" t="s">
        <v>51</v>
      </c>
      <c r="F40" s="259">
        <v>137</v>
      </c>
      <c r="G40" s="260" t="s">
        <v>49</v>
      </c>
      <c r="H40" s="261">
        <v>41</v>
      </c>
      <c r="I40" s="247" t="s">
        <v>48</v>
      </c>
      <c r="J40" s="259">
        <v>137</v>
      </c>
      <c r="K40" s="260" t="s">
        <v>24</v>
      </c>
      <c r="L40" s="261">
        <v>39</v>
      </c>
      <c r="M40" s="247" t="s">
        <v>155</v>
      </c>
      <c r="N40" s="259">
        <v>141</v>
      </c>
      <c r="O40" s="260" t="s">
        <v>89</v>
      </c>
      <c r="P40" s="261">
        <v>42</v>
      </c>
      <c r="Q40" s="247" t="s">
        <v>27</v>
      </c>
      <c r="R40" s="259">
        <v>125</v>
      </c>
      <c r="S40" s="260" t="s">
        <v>49</v>
      </c>
      <c r="T40" s="261">
        <v>41</v>
      </c>
      <c r="U40" s="247" t="s">
        <v>168</v>
      </c>
      <c r="V40" s="259">
        <v>143</v>
      </c>
      <c r="W40" s="260" t="s">
        <v>201</v>
      </c>
      <c r="X40" s="261">
        <v>33</v>
      </c>
      <c r="Y40" s="247" t="s">
        <v>48</v>
      </c>
      <c r="Z40" s="259">
        <v>137</v>
      </c>
      <c r="AA40" s="260" t="s">
        <v>96</v>
      </c>
      <c r="AB40" s="261">
        <v>43</v>
      </c>
    </row>
    <row r="41" spans="1:28" ht="142.5" customHeight="1">
      <c r="A41" s="273" t="s">
        <v>224</v>
      </c>
      <c r="B41" s="259">
        <v>143</v>
      </c>
      <c r="C41" s="260" t="s">
        <v>23</v>
      </c>
      <c r="D41" s="264">
        <v>54</v>
      </c>
      <c r="E41" s="247" t="s">
        <v>138</v>
      </c>
      <c r="F41" s="259">
        <v>241</v>
      </c>
      <c r="G41" s="260" t="s">
        <v>113</v>
      </c>
      <c r="H41" s="261">
        <v>24</v>
      </c>
      <c r="I41" s="247" t="s">
        <v>150</v>
      </c>
      <c r="J41" s="259">
        <v>334</v>
      </c>
      <c r="K41" s="260" t="s">
        <v>93</v>
      </c>
      <c r="L41" s="261">
        <v>54</v>
      </c>
      <c r="M41" s="274" t="s">
        <v>227</v>
      </c>
      <c r="N41" s="259">
        <v>276</v>
      </c>
      <c r="O41" s="260" t="s">
        <v>50</v>
      </c>
      <c r="P41" s="261">
        <v>68</v>
      </c>
      <c r="Q41" s="274" t="s">
        <v>97</v>
      </c>
      <c r="R41" s="259">
        <v>381</v>
      </c>
      <c r="S41" s="260" t="s">
        <v>38</v>
      </c>
      <c r="T41" s="261">
        <v>32</v>
      </c>
      <c r="U41" s="274" t="s">
        <v>140</v>
      </c>
      <c r="V41" s="259">
        <v>337</v>
      </c>
      <c r="W41" s="260" t="s">
        <v>25</v>
      </c>
      <c r="X41" s="261">
        <v>51</v>
      </c>
      <c r="Y41" s="274" t="s">
        <v>52</v>
      </c>
      <c r="Z41" s="259">
        <v>286</v>
      </c>
      <c r="AA41" s="260" t="s">
        <v>23</v>
      </c>
      <c r="AB41" s="261">
        <v>12</v>
      </c>
    </row>
    <row r="42" spans="1:28" ht="111.75" customHeight="1">
      <c r="A42" s="247" t="s">
        <v>156</v>
      </c>
      <c r="B42" s="259">
        <v>227</v>
      </c>
      <c r="C42" s="260" t="s">
        <v>50</v>
      </c>
      <c r="D42" s="264">
        <v>68</v>
      </c>
      <c r="E42" s="247" t="s">
        <v>88</v>
      </c>
      <c r="F42" s="259">
        <v>244</v>
      </c>
      <c r="G42" s="260" t="s">
        <v>63</v>
      </c>
      <c r="H42" s="261">
        <v>7</v>
      </c>
      <c r="I42" s="247" t="s">
        <v>53</v>
      </c>
      <c r="J42" s="259">
        <v>256</v>
      </c>
      <c r="K42" s="285" t="s">
        <v>170</v>
      </c>
      <c r="L42" s="261">
        <v>71</v>
      </c>
      <c r="M42" s="247" t="s">
        <v>178</v>
      </c>
      <c r="N42" s="259">
        <v>221</v>
      </c>
      <c r="O42" s="260" t="s">
        <v>31</v>
      </c>
      <c r="P42" s="261">
        <v>75</v>
      </c>
      <c r="Q42" s="247" t="s">
        <v>44</v>
      </c>
      <c r="R42" s="259">
        <v>258</v>
      </c>
      <c r="S42" s="260" t="s">
        <v>36</v>
      </c>
      <c r="T42" s="261">
        <v>8</v>
      </c>
      <c r="U42" s="247" t="s">
        <v>177</v>
      </c>
      <c r="V42" s="259">
        <v>358</v>
      </c>
      <c r="W42" s="260" t="s">
        <v>154</v>
      </c>
      <c r="X42" s="261">
        <v>71</v>
      </c>
      <c r="Y42" s="247" t="s">
        <v>53</v>
      </c>
      <c r="Z42" s="259">
        <v>256</v>
      </c>
      <c r="AA42" s="260" t="s">
        <v>63</v>
      </c>
      <c r="AB42" s="261">
        <v>7</v>
      </c>
    </row>
    <row r="43" spans="1:28" ht="98.25" customHeight="1">
      <c r="A43" s="247" t="s">
        <v>62</v>
      </c>
      <c r="B43" s="259">
        <v>180</v>
      </c>
      <c r="C43" s="260" t="s">
        <v>30</v>
      </c>
      <c r="D43" s="264">
        <v>21</v>
      </c>
      <c r="E43" s="247" t="s">
        <v>175</v>
      </c>
      <c r="F43" s="275">
        <v>92</v>
      </c>
      <c r="G43" s="260" t="s">
        <v>112</v>
      </c>
      <c r="H43" s="261">
        <v>41</v>
      </c>
      <c r="I43" s="255" t="s">
        <v>151</v>
      </c>
      <c r="J43" s="259">
        <v>423</v>
      </c>
      <c r="K43" s="260" t="s">
        <v>95</v>
      </c>
      <c r="L43" s="261">
        <v>34</v>
      </c>
      <c r="M43" s="266" t="s">
        <v>149</v>
      </c>
      <c r="N43" s="263">
        <v>287</v>
      </c>
      <c r="O43" s="260" t="s">
        <v>30</v>
      </c>
      <c r="P43" s="261">
        <v>21</v>
      </c>
      <c r="Q43" s="266" t="s">
        <v>86</v>
      </c>
      <c r="R43" s="263">
        <v>99</v>
      </c>
      <c r="S43" s="260" t="s">
        <v>56</v>
      </c>
      <c r="T43" s="261">
        <v>76</v>
      </c>
      <c r="U43" s="266" t="s">
        <v>37</v>
      </c>
      <c r="V43" s="263">
        <v>110</v>
      </c>
      <c r="W43" s="260" t="s">
        <v>100</v>
      </c>
      <c r="X43" s="261">
        <v>36</v>
      </c>
      <c r="Y43" s="266" t="s">
        <v>90</v>
      </c>
      <c r="Z43" s="263">
        <v>178</v>
      </c>
      <c r="AA43" s="260" t="s">
        <v>114</v>
      </c>
      <c r="AB43" s="261">
        <v>26</v>
      </c>
    </row>
    <row r="44" spans="1:28" ht="96.75" customHeight="1" thickBot="1">
      <c r="A44" s="247"/>
      <c r="B44" s="259"/>
      <c r="C44" s="260" t="s">
        <v>102</v>
      </c>
      <c r="D44" s="264">
        <v>43</v>
      </c>
      <c r="E44" s="269"/>
      <c r="F44" s="241"/>
      <c r="G44" s="242" t="s">
        <v>91</v>
      </c>
      <c r="H44" s="243">
        <v>23</v>
      </c>
      <c r="I44" s="286" t="s">
        <v>152</v>
      </c>
      <c r="J44" s="259">
        <v>110</v>
      </c>
      <c r="K44" s="260" t="s">
        <v>115</v>
      </c>
      <c r="L44" s="261">
        <v>48</v>
      </c>
      <c r="M44" s="269"/>
      <c r="N44" s="241"/>
      <c r="O44" s="242" t="s">
        <v>102</v>
      </c>
      <c r="P44" s="243">
        <v>43</v>
      </c>
      <c r="Q44" s="269"/>
      <c r="R44" s="241"/>
      <c r="S44" s="242" t="s">
        <v>65</v>
      </c>
      <c r="T44" s="243">
        <v>37</v>
      </c>
      <c r="U44" s="269"/>
      <c r="V44" s="241"/>
      <c r="W44" s="242" t="s">
        <v>85</v>
      </c>
      <c r="X44" s="243">
        <v>54</v>
      </c>
      <c r="Y44" s="269"/>
      <c r="Z44" s="241"/>
      <c r="AA44" s="242" t="s">
        <v>31</v>
      </c>
      <c r="AB44" s="243">
        <v>75</v>
      </c>
    </row>
    <row r="45" spans="1:28" ht="60" customHeight="1" thickBot="1">
      <c r="A45" s="95" t="s">
        <v>3</v>
      </c>
      <c r="B45" s="96">
        <f>SUM(B40:B43)</f>
        <v>669</v>
      </c>
      <c r="C45" s="95" t="s">
        <v>3</v>
      </c>
      <c r="D45" s="101">
        <f>SUM(D40:D44)</f>
        <v>258</v>
      </c>
      <c r="E45" s="95" t="s">
        <v>3</v>
      </c>
      <c r="F45" s="96">
        <f>SUM(F40:F43)</f>
        <v>714</v>
      </c>
      <c r="G45" s="95" t="s">
        <v>3</v>
      </c>
      <c r="H45" s="101">
        <f>SUM(H40:H44)</f>
        <v>136</v>
      </c>
      <c r="I45" s="95" t="s">
        <v>3</v>
      </c>
      <c r="J45" s="96">
        <f>SUM(J40:J44)</f>
        <v>1260</v>
      </c>
      <c r="K45" s="95" t="s">
        <v>3</v>
      </c>
      <c r="L45" s="98">
        <f>SUM(L40:L44)</f>
        <v>246</v>
      </c>
      <c r="M45" s="95" t="s">
        <v>3</v>
      </c>
      <c r="N45" s="96">
        <f>SUM(N40:N43)</f>
        <v>925</v>
      </c>
      <c r="O45" s="95" t="s">
        <v>3</v>
      </c>
      <c r="P45" s="98">
        <f>SUM(P40:P44)</f>
        <v>249</v>
      </c>
      <c r="Q45" s="95" t="s">
        <v>3</v>
      </c>
      <c r="R45" s="96">
        <f>SUM(R40:R43)</f>
        <v>863</v>
      </c>
      <c r="S45" s="95" t="s">
        <v>3</v>
      </c>
      <c r="T45" s="98">
        <f>SUM(T40:T44)</f>
        <v>194</v>
      </c>
      <c r="U45" s="95" t="s">
        <v>3</v>
      </c>
      <c r="V45" s="96">
        <f>SUM(V40:V43)</f>
        <v>948</v>
      </c>
      <c r="W45" s="95" t="s">
        <v>3</v>
      </c>
      <c r="X45" s="98">
        <f>SUM(X40:X44)</f>
        <v>245</v>
      </c>
      <c r="Y45" s="95" t="s">
        <v>3</v>
      </c>
      <c r="Z45" s="96">
        <f>SUM(Z40:Z43)</f>
        <v>857</v>
      </c>
      <c r="AA45" s="95" t="s">
        <v>3</v>
      </c>
      <c r="AB45" s="98">
        <f>SUM(AB40:AB44)</f>
        <v>163</v>
      </c>
    </row>
    <row r="46" spans="1:28" ht="18.75" customHeight="1">
      <c r="A46" s="63"/>
      <c r="B46" s="50"/>
      <c r="C46" s="51"/>
      <c r="D46" s="50"/>
      <c r="E46" s="51"/>
      <c r="F46" s="50"/>
      <c r="G46" s="51"/>
      <c r="H46" s="50"/>
      <c r="I46" s="21"/>
      <c r="J46" s="20"/>
      <c r="K46" s="21"/>
      <c r="L46" s="20"/>
      <c r="M46" s="51"/>
      <c r="N46" s="50"/>
      <c r="O46" s="52"/>
      <c r="P46" s="50"/>
      <c r="Q46" s="51"/>
      <c r="R46" s="50"/>
      <c r="S46" s="52"/>
      <c r="T46" s="50"/>
      <c r="U46" s="51"/>
      <c r="V46" s="50"/>
      <c r="W46" s="52"/>
      <c r="X46" s="50"/>
      <c r="Y46" s="51"/>
      <c r="Z46" s="50"/>
      <c r="AA46" s="52"/>
      <c r="AB46" s="65"/>
    </row>
    <row r="47" spans="1:28" ht="63.75" hidden="1" customHeight="1">
      <c r="A47" s="292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4"/>
    </row>
    <row r="48" spans="1:28" ht="45" hidden="1" customHeight="1">
      <c r="A48" s="42"/>
      <c r="B48" s="23"/>
      <c r="C48" s="36"/>
      <c r="D48" s="23"/>
      <c r="E48" s="36"/>
      <c r="F48" s="23"/>
      <c r="G48" s="36"/>
      <c r="H48" s="23"/>
      <c r="I48" s="36"/>
      <c r="J48" s="23"/>
      <c r="K48" s="36"/>
      <c r="L48" s="23"/>
      <c r="M48" s="36"/>
      <c r="N48" s="23"/>
      <c r="O48" s="36"/>
      <c r="P48" s="23"/>
      <c r="Q48" s="36"/>
      <c r="R48" s="23"/>
      <c r="S48" s="36"/>
      <c r="T48" s="23"/>
      <c r="U48" s="36"/>
      <c r="V48" s="23"/>
      <c r="W48" s="36"/>
      <c r="X48" s="23"/>
      <c r="Y48" s="36"/>
      <c r="Z48" s="23"/>
      <c r="AA48" s="36"/>
      <c r="AB48" s="39"/>
    </row>
    <row r="49" spans="1:28" ht="84" hidden="1" customHeight="1">
      <c r="A49" s="83"/>
      <c r="B49" s="53"/>
      <c r="C49" s="54"/>
      <c r="D49" s="53"/>
      <c r="E49" s="54"/>
      <c r="F49" s="53"/>
      <c r="G49" s="54"/>
      <c r="H49" s="53"/>
      <c r="I49" s="38"/>
      <c r="J49" s="53"/>
      <c r="K49" s="54"/>
      <c r="L49" s="53"/>
      <c r="M49" s="54"/>
      <c r="N49" s="53"/>
      <c r="O49" s="54"/>
      <c r="P49" s="53"/>
      <c r="Q49" s="54"/>
      <c r="R49" s="78"/>
      <c r="S49" s="54"/>
      <c r="T49" s="53"/>
      <c r="U49" s="54"/>
      <c r="V49" s="53"/>
      <c r="W49" s="54"/>
      <c r="X49" s="53"/>
      <c r="Y49" s="54"/>
      <c r="Z49" s="53"/>
      <c r="AA49" s="54"/>
      <c r="AB49" s="64"/>
    </row>
    <row r="50" spans="1:28" ht="105.75" hidden="1" customHeight="1">
      <c r="A50" s="84"/>
      <c r="B50" s="53"/>
      <c r="C50" s="54"/>
      <c r="D50" s="53"/>
      <c r="E50" s="54"/>
      <c r="F50" s="53"/>
      <c r="G50" s="54"/>
      <c r="H50" s="53"/>
      <c r="I50" s="76"/>
      <c r="J50" s="53"/>
      <c r="K50" s="54"/>
      <c r="L50" s="53"/>
      <c r="M50" s="54"/>
      <c r="N50" s="53"/>
      <c r="O50" s="54"/>
      <c r="P50" s="53"/>
      <c r="Q50" s="54"/>
      <c r="R50" s="53"/>
      <c r="S50" s="54"/>
      <c r="T50" s="53"/>
      <c r="U50" s="54"/>
      <c r="V50" s="53"/>
      <c r="W50" s="54"/>
      <c r="X50" s="53"/>
      <c r="Y50" s="54"/>
      <c r="Z50" s="53"/>
      <c r="AA50" s="54"/>
      <c r="AB50" s="64"/>
    </row>
    <row r="51" spans="1:28" ht="92.25" hidden="1" customHeight="1">
      <c r="A51" s="85"/>
      <c r="B51" s="53"/>
      <c r="C51" s="54"/>
      <c r="D51" s="53"/>
      <c r="E51" s="54"/>
      <c r="F51" s="53"/>
      <c r="G51" s="54"/>
      <c r="H51" s="53"/>
      <c r="I51" s="54"/>
      <c r="J51" s="53"/>
      <c r="K51" s="54"/>
      <c r="L51" s="53"/>
      <c r="M51" s="54"/>
      <c r="N51" s="53"/>
      <c r="O51" s="54"/>
      <c r="P51" s="53"/>
      <c r="Q51" s="54"/>
      <c r="R51" s="53"/>
      <c r="S51" s="54"/>
      <c r="T51" s="53"/>
      <c r="U51" s="51"/>
      <c r="V51" s="50"/>
      <c r="W51" s="54"/>
      <c r="X51" s="53"/>
      <c r="Y51" s="54"/>
      <c r="Z51" s="50"/>
      <c r="AA51" s="54"/>
      <c r="AB51" s="64"/>
    </row>
    <row r="52" spans="1:28" ht="97.5" hidden="1" customHeight="1">
      <c r="A52" s="85"/>
      <c r="B52" s="53"/>
      <c r="C52" s="54"/>
      <c r="D52" s="53"/>
      <c r="E52" s="54"/>
      <c r="F52" s="50"/>
      <c r="G52" s="54"/>
      <c r="H52" s="53"/>
      <c r="I52" s="77"/>
      <c r="J52" s="78"/>
      <c r="K52" s="54"/>
      <c r="L52" s="53"/>
      <c r="M52" s="51"/>
      <c r="N52" s="50"/>
      <c r="O52" s="54"/>
      <c r="P52" s="53"/>
      <c r="Q52" s="54"/>
      <c r="R52" s="53"/>
      <c r="S52" s="54"/>
      <c r="T52" s="53"/>
      <c r="U52" s="52"/>
      <c r="V52" s="53"/>
      <c r="W52" s="54"/>
      <c r="X52" s="53"/>
      <c r="Y52" s="52"/>
      <c r="Z52" s="53"/>
      <c r="AA52" s="54"/>
      <c r="AB52" s="64"/>
    </row>
    <row r="53" spans="1:28" ht="80.25" customHeight="1">
      <c r="A53" s="85"/>
      <c r="B53" s="53"/>
      <c r="C53" s="54"/>
      <c r="D53" s="53"/>
      <c r="E53" s="54"/>
      <c r="F53" s="53"/>
      <c r="G53" s="54"/>
      <c r="H53" s="53"/>
      <c r="I53" s="38"/>
      <c r="J53" s="53"/>
      <c r="K53" s="54"/>
      <c r="L53" s="53"/>
      <c r="M53" s="54"/>
      <c r="N53" s="53"/>
      <c r="O53" s="54"/>
      <c r="P53" s="53"/>
      <c r="Q53" s="21"/>
      <c r="R53" s="20"/>
      <c r="S53" s="54"/>
      <c r="T53" s="53"/>
      <c r="U53" s="51"/>
      <c r="V53" s="50"/>
      <c r="W53" s="54"/>
      <c r="X53" s="53"/>
      <c r="Y53" s="51"/>
      <c r="Z53" s="50"/>
      <c r="AA53" s="54"/>
      <c r="AB53" s="64"/>
    </row>
    <row r="54" spans="1:28" ht="60" customHeight="1">
      <c r="A54" s="63"/>
      <c r="B54" s="50"/>
      <c r="C54" s="51"/>
      <c r="D54" s="50"/>
      <c r="E54" s="51"/>
      <c r="F54" s="50"/>
      <c r="G54" s="51"/>
      <c r="H54" s="50"/>
      <c r="I54" s="51"/>
      <c r="J54" s="50"/>
      <c r="K54" s="51"/>
      <c r="L54" s="50"/>
      <c r="M54" s="51"/>
      <c r="N54" s="50"/>
      <c r="O54" s="51"/>
      <c r="P54" s="50"/>
      <c r="Q54" s="51"/>
      <c r="R54" s="50"/>
      <c r="S54" s="51"/>
      <c r="T54" s="50"/>
      <c r="U54" s="51"/>
      <c r="V54" s="53"/>
      <c r="W54" s="51"/>
      <c r="X54" s="53"/>
      <c r="Y54" s="55"/>
      <c r="Z54" s="53"/>
      <c r="AA54" s="54"/>
      <c r="AB54" s="64"/>
    </row>
    <row r="55" spans="1:28" ht="48.75" customHeight="1" thickBot="1">
      <c r="A55" s="63"/>
      <c r="B55" s="50"/>
      <c r="C55" s="51"/>
      <c r="D55" s="50"/>
      <c r="E55" s="51"/>
      <c r="F55" s="50"/>
      <c r="G55" s="51"/>
      <c r="H55" s="50"/>
      <c r="I55" s="51"/>
      <c r="J55" s="50"/>
      <c r="K55" s="51"/>
      <c r="L55" s="50"/>
      <c r="M55" s="51"/>
      <c r="N55" s="50"/>
      <c r="O55" s="51"/>
      <c r="P55" s="50"/>
      <c r="Q55" s="51"/>
      <c r="R55" s="50"/>
      <c r="S55" s="51"/>
      <c r="T55" s="50"/>
      <c r="U55" s="51"/>
      <c r="V55" s="53"/>
      <c r="W55" s="51"/>
      <c r="X55" s="53"/>
      <c r="Y55" s="55"/>
      <c r="Z55" s="53"/>
      <c r="AA55" s="54"/>
      <c r="AB55" s="64"/>
    </row>
    <row r="56" spans="1:28" ht="42" customHeight="1" thickBot="1">
      <c r="A56" s="287" t="s">
        <v>22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9"/>
    </row>
    <row r="57" spans="1:28" ht="40.5" customHeight="1">
      <c r="A57" s="134" t="s">
        <v>4</v>
      </c>
      <c r="B57" s="135"/>
      <c r="C57" s="136"/>
      <c r="D57" s="135"/>
      <c r="E57" s="136"/>
      <c r="F57" s="135"/>
      <c r="G57" s="136"/>
      <c r="H57" s="135"/>
      <c r="I57" s="137"/>
      <c r="J57" s="138"/>
      <c r="K57" s="137"/>
      <c r="L57" s="138"/>
      <c r="M57" s="139" t="s">
        <v>5</v>
      </c>
      <c r="N57" s="138"/>
      <c r="O57" s="136"/>
      <c r="P57" s="135"/>
      <c r="Q57" s="136"/>
      <c r="R57" s="135"/>
      <c r="S57" s="136"/>
      <c r="T57" s="135"/>
      <c r="U57" s="139" t="s">
        <v>6</v>
      </c>
      <c r="V57" s="135"/>
      <c r="W57" s="136"/>
      <c r="X57" s="135"/>
      <c r="Y57" s="136"/>
      <c r="Z57" s="135"/>
      <c r="AA57" s="136"/>
      <c r="AB57" s="140"/>
    </row>
    <row r="58" spans="1:28" ht="33.75" customHeight="1">
      <c r="A58" s="110" t="s">
        <v>7</v>
      </c>
      <c r="B58" s="111"/>
      <c r="C58" s="112"/>
      <c r="D58" s="111"/>
      <c r="E58" s="112"/>
      <c r="F58" s="111"/>
      <c r="G58" s="112"/>
      <c r="H58" s="111"/>
      <c r="I58" s="113"/>
      <c r="J58" s="114"/>
      <c r="K58" s="113"/>
      <c r="L58" s="114"/>
      <c r="M58" s="115" t="s">
        <v>8</v>
      </c>
      <c r="N58" s="114"/>
      <c r="O58" s="112"/>
      <c r="P58" s="111"/>
      <c r="Q58" s="112"/>
      <c r="R58" s="111"/>
      <c r="S58" s="112"/>
      <c r="T58" s="111"/>
      <c r="U58" s="115" t="s">
        <v>9</v>
      </c>
      <c r="V58" s="111"/>
      <c r="W58" s="112"/>
      <c r="X58" s="111"/>
      <c r="Y58" s="112"/>
      <c r="Z58" s="111"/>
      <c r="AA58" s="112"/>
      <c r="AB58" s="116"/>
    </row>
    <row r="59" spans="1:28" ht="32.25" customHeight="1">
      <c r="A59" s="110" t="s">
        <v>10</v>
      </c>
      <c r="B59" s="111"/>
      <c r="C59" s="112"/>
      <c r="D59" s="111"/>
      <c r="E59" s="112"/>
      <c r="F59" s="111"/>
      <c r="G59" s="112"/>
      <c r="H59" s="111"/>
      <c r="I59" s="113"/>
      <c r="J59" s="114"/>
      <c r="K59" s="113"/>
      <c r="L59" s="114"/>
      <c r="M59" s="115" t="s">
        <v>11</v>
      </c>
      <c r="N59" s="114"/>
      <c r="O59" s="112"/>
      <c r="P59" s="111"/>
      <c r="Q59" s="112"/>
      <c r="R59" s="111"/>
      <c r="S59" s="112"/>
      <c r="T59" s="111"/>
      <c r="U59" s="115" t="s">
        <v>12</v>
      </c>
      <c r="V59" s="111"/>
      <c r="W59" s="112"/>
      <c r="X59" s="111"/>
      <c r="Y59" s="112"/>
      <c r="Z59" s="111"/>
      <c r="AA59" s="112"/>
      <c r="AB59" s="116"/>
    </row>
    <row r="60" spans="1:28" ht="32.25" customHeight="1">
      <c r="A60" s="110" t="s">
        <v>13</v>
      </c>
      <c r="B60" s="111"/>
      <c r="C60" s="112"/>
      <c r="D60" s="111"/>
      <c r="E60" s="112"/>
      <c r="F60" s="111"/>
      <c r="G60" s="112"/>
      <c r="H60" s="111"/>
      <c r="I60" s="113"/>
      <c r="J60" s="114"/>
      <c r="K60" s="113"/>
      <c r="L60" s="114"/>
      <c r="M60" s="115" t="s">
        <v>14</v>
      </c>
      <c r="N60" s="114"/>
      <c r="O60" s="112"/>
      <c r="P60" s="111"/>
      <c r="Q60" s="112"/>
      <c r="R60" s="111"/>
      <c r="S60" s="112"/>
      <c r="T60" s="111"/>
      <c r="U60" s="115" t="s">
        <v>15</v>
      </c>
      <c r="V60" s="111"/>
      <c r="W60" s="112"/>
      <c r="X60" s="111"/>
      <c r="Y60" s="112"/>
      <c r="Z60" s="111"/>
      <c r="AA60" s="112"/>
      <c r="AB60" s="116"/>
    </row>
    <row r="61" spans="1:28" ht="30.75" customHeight="1">
      <c r="A61" s="110" t="s">
        <v>16</v>
      </c>
      <c r="B61" s="111"/>
      <c r="C61" s="112"/>
      <c r="D61" s="111"/>
      <c r="E61" s="112"/>
      <c r="F61" s="111"/>
      <c r="G61" s="112"/>
      <c r="H61" s="111"/>
      <c r="I61" s="113"/>
      <c r="J61" s="114"/>
      <c r="K61" s="113"/>
      <c r="L61" s="114"/>
      <c r="M61" s="115" t="s">
        <v>17</v>
      </c>
      <c r="N61" s="114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6"/>
    </row>
    <row r="62" spans="1:28" ht="13.5" customHeight="1">
      <c r="A62" s="110"/>
      <c r="B62" s="111"/>
      <c r="C62" s="112"/>
      <c r="D62" s="111"/>
      <c r="E62" s="112"/>
      <c r="F62" s="111"/>
      <c r="G62" s="112"/>
      <c r="H62" s="111"/>
      <c r="I62" s="113"/>
      <c r="J62" s="114"/>
      <c r="K62" s="113"/>
      <c r="L62" s="114"/>
      <c r="M62" s="115"/>
      <c r="N62" s="114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6"/>
    </row>
    <row r="63" spans="1:28" ht="70.5" customHeight="1" thickBot="1">
      <c r="A63" s="290" t="s">
        <v>18</v>
      </c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117"/>
    </row>
    <row r="64" spans="1:28" ht="13.5" customHeight="1">
      <c r="A64" s="30"/>
      <c r="B64" s="29"/>
      <c r="C64" s="30"/>
      <c r="D64" s="29"/>
      <c r="E64" s="30"/>
      <c r="F64" s="29"/>
      <c r="G64" s="30"/>
      <c r="H64" s="29"/>
      <c r="I64" s="30"/>
      <c r="J64" s="29"/>
      <c r="K64" s="30"/>
      <c r="L64" s="29"/>
      <c r="M64" s="30"/>
      <c r="N64" s="29"/>
      <c r="O64" s="30"/>
      <c r="P64" s="29"/>
      <c r="Q64" s="30"/>
      <c r="R64" s="29"/>
      <c r="S64" s="30"/>
      <c r="T64" s="29"/>
      <c r="U64" s="30"/>
      <c r="V64" s="29"/>
      <c r="W64" s="30"/>
      <c r="X64" s="29"/>
      <c r="Y64" s="30"/>
      <c r="Z64" s="29"/>
      <c r="AA64" s="30"/>
      <c r="AB64" s="29"/>
    </row>
    <row r="65" spans="1:28" ht="13.5" customHeight="1">
      <c r="A65" s="17"/>
      <c r="B65" s="18"/>
      <c r="C65" s="17"/>
      <c r="D65" s="18"/>
      <c r="E65" s="17"/>
      <c r="F65" s="18"/>
      <c r="G65" s="17"/>
      <c r="H65" s="18"/>
      <c r="I65" s="17"/>
      <c r="J65" s="18"/>
      <c r="K65" s="17"/>
      <c r="L65" s="18"/>
      <c r="M65" s="17"/>
      <c r="N65" s="18"/>
      <c r="O65" s="17"/>
      <c r="P65" s="18"/>
      <c r="Q65" s="17"/>
      <c r="R65" s="18"/>
      <c r="S65" s="17"/>
      <c r="T65" s="18"/>
      <c r="U65" s="17"/>
      <c r="V65" s="18"/>
      <c r="W65" s="17"/>
      <c r="X65" s="18"/>
      <c r="Y65" s="17"/>
      <c r="Z65" s="18"/>
      <c r="AA65" s="17"/>
      <c r="AB65" s="18"/>
    </row>
    <row r="66" spans="1:28" ht="13.5" customHeight="1">
      <c r="A66" s="17"/>
      <c r="B66" s="18"/>
      <c r="C66" s="17"/>
      <c r="D66" s="18"/>
      <c r="E66" s="17"/>
      <c r="F66" s="18"/>
      <c r="G66" s="17"/>
      <c r="H66" s="18"/>
      <c r="I66" s="17"/>
      <c r="J66" s="18"/>
      <c r="K66" s="17"/>
      <c r="L66" s="18"/>
      <c r="M66" s="17"/>
      <c r="N66" s="18"/>
      <c r="O66" s="17"/>
      <c r="P66" s="18"/>
      <c r="Q66" s="17"/>
      <c r="R66" s="18"/>
      <c r="S66" s="17"/>
      <c r="T66" s="18"/>
      <c r="U66" s="17"/>
      <c r="V66" s="18"/>
      <c r="W66" s="17"/>
      <c r="X66" s="18"/>
      <c r="Y66" s="17"/>
      <c r="Z66" s="18"/>
      <c r="AA66" s="17"/>
      <c r="AB66" s="18"/>
    </row>
    <row r="67" spans="1:28" ht="13.5" customHeight="1">
      <c r="A67" s="17"/>
      <c r="B67" s="18"/>
      <c r="C67" s="17"/>
      <c r="D67" s="18"/>
      <c r="E67" s="17"/>
      <c r="F67" s="18"/>
      <c r="G67" s="17"/>
      <c r="H67" s="18"/>
      <c r="I67" s="17"/>
      <c r="J67" s="18"/>
      <c r="K67" s="17"/>
      <c r="L67" s="18"/>
      <c r="M67" s="17"/>
      <c r="N67" s="18"/>
      <c r="O67" s="17"/>
      <c r="P67" s="18"/>
      <c r="Q67" s="17"/>
      <c r="R67" s="18"/>
      <c r="S67" s="17"/>
      <c r="T67" s="18"/>
      <c r="U67" s="17"/>
      <c r="V67" s="18"/>
      <c r="W67" s="17"/>
      <c r="X67" s="18"/>
      <c r="Y67" s="17"/>
      <c r="Z67" s="18"/>
      <c r="AA67" s="17"/>
      <c r="AB67" s="18"/>
    </row>
    <row r="68" spans="1:28" ht="13.5" customHeight="1">
      <c r="A68" s="17"/>
      <c r="B68" s="18"/>
      <c r="C68" s="17"/>
      <c r="D68" s="18"/>
      <c r="E68" s="17"/>
      <c r="F68" s="18"/>
      <c r="G68" s="17"/>
      <c r="H68" s="18"/>
      <c r="I68" s="17"/>
      <c r="J68" s="18"/>
      <c r="K68" s="17"/>
      <c r="L68" s="18"/>
      <c r="M68" s="17"/>
      <c r="N68" s="18"/>
      <c r="O68" s="17"/>
      <c r="P68" s="18"/>
      <c r="Q68" s="17"/>
      <c r="R68" s="18"/>
      <c r="S68" s="17"/>
      <c r="T68" s="18"/>
      <c r="U68" s="17"/>
      <c r="V68" s="18"/>
      <c r="W68" s="17"/>
      <c r="X68" s="18"/>
      <c r="Y68" s="17"/>
      <c r="Z68" s="18"/>
      <c r="AA68" s="17"/>
      <c r="AB68" s="18"/>
    </row>
    <row r="69" spans="1:28" ht="13.5" customHeight="1">
      <c r="A69" s="17"/>
      <c r="B69" s="18"/>
      <c r="C69" s="17"/>
      <c r="D69" s="18"/>
      <c r="E69" s="17"/>
      <c r="F69" s="18"/>
      <c r="G69" s="17"/>
      <c r="H69" s="18"/>
      <c r="I69" s="17"/>
      <c r="J69" s="18"/>
      <c r="K69" s="17"/>
      <c r="L69" s="18"/>
      <c r="M69" s="17"/>
      <c r="N69" s="18"/>
      <c r="O69" s="17"/>
      <c r="P69" s="18"/>
      <c r="Q69" s="17"/>
      <c r="R69" s="18"/>
      <c r="S69" s="17"/>
      <c r="T69" s="18"/>
      <c r="U69" s="17"/>
      <c r="V69" s="18"/>
      <c r="W69" s="17"/>
      <c r="X69" s="18"/>
      <c r="Y69" s="17"/>
      <c r="Z69" s="18"/>
      <c r="AA69" s="17"/>
      <c r="AB69" s="18"/>
    </row>
    <row r="70" spans="1:28" ht="13.5" customHeight="1">
      <c r="A70" s="17"/>
      <c r="B70" s="18"/>
      <c r="C70" s="17"/>
      <c r="D70" s="18"/>
      <c r="E70" s="17"/>
      <c r="F70" s="18"/>
      <c r="G70" s="17"/>
      <c r="H70" s="18"/>
      <c r="I70" s="17"/>
      <c r="J70" s="18"/>
      <c r="K70" s="17"/>
      <c r="L70" s="18"/>
      <c r="M70" s="17"/>
      <c r="N70" s="18"/>
      <c r="O70" s="17"/>
      <c r="P70" s="18"/>
      <c r="Q70" s="17"/>
      <c r="R70" s="18"/>
      <c r="S70" s="17"/>
      <c r="T70" s="18"/>
      <c r="U70" s="17"/>
      <c r="V70" s="18"/>
      <c r="W70" s="17"/>
      <c r="X70" s="18"/>
      <c r="Y70" s="17"/>
      <c r="Z70" s="18"/>
      <c r="AA70" s="17"/>
      <c r="AB70" s="18"/>
    </row>
    <row r="71" spans="1:28" ht="13.5" customHeight="1">
      <c r="A71" s="17"/>
      <c r="B71" s="18"/>
      <c r="C71" s="17"/>
      <c r="D71" s="18"/>
      <c r="E71" s="17"/>
      <c r="F71" s="18"/>
      <c r="G71" s="17"/>
      <c r="H71" s="18"/>
      <c r="I71" s="17"/>
      <c r="J71" s="18"/>
      <c r="K71" s="17"/>
      <c r="L71" s="18"/>
      <c r="M71" s="17"/>
      <c r="N71" s="18"/>
      <c r="O71" s="17"/>
      <c r="P71" s="18"/>
      <c r="Q71" s="17"/>
      <c r="R71" s="18"/>
      <c r="S71" s="17"/>
      <c r="T71" s="18"/>
      <c r="U71" s="17"/>
      <c r="V71" s="18"/>
      <c r="W71" s="17"/>
      <c r="X71" s="18"/>
      <c r="Y71" s="17"/>
      <c r="Z71" s="18"/>
      <c r="AA71" s="17"/>
      <c r="AB71" s="18"/>
    </row>
    <row r="72" spans="1:28" ht="13.5" customHeight="1">
      <c r="A72" s="17"/>
      <c r="B72" s="18"/>
      <c r="C72" s="17"/>
      <c r="D72" s="18"/>
      <c r="E72" s="17"/>
      <c r="F72" s="18"/>
      <c r="G72" s="17"/>
      <c r="H72" s="18"/>
      <c r="I72" s="17"/>
      <c r="J72" s="18"/>
      <c r="K72" s="17"/>
      <c r="L72" s="18"/>
      <c r="M72" s="17"/>
      <c r="N72" s="18"/>
      <c r="O72" s="17"/>
      <c r="P72" s="18"/>
      <c r="Q72" s="17"/>
      <c r="R72" s="18"/>
      <c r="S72" s="17"/>
      <c r="T72" s="18"/>
      <c r="U72" s="17"/>
      <c r="V72" s="18"/>
      <c r="W72" s="17"/>
      <c r="X72" s="18"/>
      <c r="Y72" s="17"/>
      <c r="Z72" s="18"/>
      <c r="AA72" s="17"/>
      <c r="AB72" s="18"/>
    </row>
    <row r="73" spans="1:28" ht="13.5" customHeight="1">
      <c r="A73" s="17"/>
      <c r="B73" s="18"/>
      <c r="C73" s="17"/>
      <c r="D73" s="18"/>
      <c r="E73" s="17"/>
      <c r="F73" s="18"/>
      <c r="G73" s="17"/>
      <c r="H73" s="18"/>
      <c r="I73" s="17"/>
      <c r="J73" s="18"/>
      <c r="K73" s="17"/>
      <c r="L73" s="18"/>
      <c r="M73" s="17"/>
      <c r="N73" s="18"/>
      <c r="O73" s="17"/>
      <c r="P73" s="18"/>
      <c r="Q73" s="17"/>
      <c r="R73" s="18"/>
      <c r="S73" s="17"/>
      <c r="T73" s="18"/>
      <c r="U73" s="17"/>
      <c r="V73" s="18"/>
      <c r="W73" s="17"/>
      <c r="X73" s="18"/>
      <c r="Y73" s="17"/>
      <c r="Z73" s="18"/>
      <c r="AA73" s="17"/>
      <c r="AB73" s="18"/>
    </row>
    <row r="74" spans="1:28" ht="13.5" customHeight="1">
      <c r="A74" s="17"/>
      <c r="B74" s="18"/>
      <c r="C74" s="17"/>
      <c r="D74" s="18"/>
      <c r="E74" s="17"/>
      <c r="F74" s="18"/>
      <c r="G74" s="17"/>
      <c r="H74" s="18"/>
      <c r="I74" s="17"/>
      <c r="J74" s="18"/>
      <c r="K74" s="17"/>
      <c r="L74" s="18"/>
      <c r="M74" s="17"/>
      <c r="N74" s="18"/>
      <c r="O74" s="17"/>
      <c r="P74" s="18"/>
      <c r="Q74" s="17"/>
      <c r="R74" s="18"/>
      <c r="S74" s="17"/>
      <c r="T74" s="18"/>
      <c r="U74" s="17"/>
      <c r="V74" s="18"/>
      <c r="W74" s="17"/>
      <c r="X74" s="18"/>
      <c r="Y74" s="17"/>
      <c r="Z74" s="18"/>
      <c r="AA74" s="17"/>
      <c r="AB74" s="18"/>
    </row>
    <row r="75" spans="1:28" ht="13.5" customHeight="1">
      <c r="A75" s="17"/>
      <c r="B75" s="18"/>
      <c r="C75" s="17"/>
      <c r="D75" s="18"/>
      <c r="E75" s="17"/>
      <c r="F75" s="18"/>
      <c r="G75" s="17"/>
      <c r="H75" s="18"/>
      <c r="I75" s="17"/>
      <c r="J75" s="18"/>
      <c r="K75" s="17"/>
      <c r="L75" s="18"/>
      <c r="M75" s="17"/>
      <c r="N75" s="18"/>
      <c r="O75" s="17"/>
      <c r="P75" s="18"/>
      <c r="Q75" s="17"/>
      <c r="R75" s="18"/>
      <c r="S75" s="17"/>
      <c r="T75" s="18"/>
      <c r="U75" s="17"/>
      <c r="V75" s="18"/>
      <c r="W75" s="17"/>
      <c r="X75" s="18"/>
      <c r="Y75" s="17"/>
      <c r="Z75" s="18"/>
      <c r="AA75" s="17"/>
      <c r="AB75" s="18"/>
    </row>
    <row r="76" spans="1:28" ht="13.5" customHeight="1">
      <c r="A76" s="17"/>
      <c r="B76" s="18"/>
      <c r="C76" s="17"/>
      <c r="D76" s="18"/>
      <c r="E76" s="17"/>
      <c r="F76" s="18"/>
      <c r="G76" s="17"/>
      <c r="H76" s="18"/>
      <c r="I76" s="17"/>
      <c r="J76" s="18"/>
      <c r="K76" s="17"/>
      <c r="L76" s="18"/>
      <c r="M76" s="17"/>
      <c r="N76" s="18"/>
      <c r="O76" s="17"/>
      <c r="P76" s="18"/>
      <c r="Q76" s="17"/>
      <c r="R76" s="18"/>
      <c r="S76" s="17"/>
      <c r="T76" s="18"/>
      <c r="U76" s="17"/>
      <c r="V76" s="18"/>
      <c r="W76" s="17"/>
      <c r="X76" s="18"/>
      <c r="Y76" s="17"/>
      <c r="Z76" s="18"/>
      <c r="AA76" s="17"/>
      <c r="AB76" s="18"/>
    </row>
    <row r="77" spans="1:28" ht="13.5" customHeight="1">
      <c r="A77" s="17"/>
      <c r="B77" s="18"/>
      <c r="C77" s="17"/>
      <c r="D77" s="18"/>
      <c r="E77" s="17"/>
      <c r="F77" s="18"/>
      <c r="G77" s="17"/>
      <c r="H77" s="18"/>
      <c r="I77" s="17"/>
      <c r="J77" s="18"/>
      <c r="K77" s="17"/>
      <c r="L77" s="18"/>
      <c r="M77" s="17"/>
      <c r="N77" s="18"/>
      <c r="O77" s="17"/>
      <c r="P77" s="18"/>
      <c r="Q77" s="17"/>
      <c r="R77" s="18"/>
      <c r="S77" s="17"/>
      <c r="T77" s="18"/>
      <c r="U77" s="17"/>
      <c r="V77" s="18"/>
      <c r="W77" s="17"/>
      <c r="X77" s="18"/>
      <c r="Y77" s="17"/>
      <c r="Z77" s="18"/>
      <c r="AA77" s="17"/>
      <c r="AB77" s="18"/>
    </row>
    <row r="78" spans="1:28" ht="13.5" customHeight="1">
      <c r="A78" s="17"/>
      <c r="B78" s="18"/>
      <c r="C78" s="17"/>
      <c r="D78" s="18"/>
      <c r="E78" s="17"/>
      <c r="F78" s="18"/>
      <c r="G78" s="17"/>
      <c r="H78" s="18"/>
      <c r="I78" s="17"/>
      <c r="J78" s="18"/>
      <c r="K78" s="17"/>
      <c r="L78" s="18"/>
      <c r="M78" s="17"/>
      <c r="N78" s="18"/>
      <c r="O78" s="17"/>
      <c r="P78" s="18"/>
      <c r="Q78" s="17"/>
      <c r="R78" s="18"/>
      <c r="S78" s="17"/>
      <c r="T78" s="18"/>
      <c r="U78" s="17"/>
      <c r="V78" s="18"/>
      <c r="W78" s="17"/>
      <c r="X78" s="18"/>
      <c r="Y78" s="17"/>
      <c r="Z78" s="18"/>
      <c r="AA78" s="17"/>
      <c r="AB78" s="18"/>
    </row>
    <row r="79" spans="1:28" ht="13.5" customHeight="1">
      <c r="A79" s="17"/>
      <c r="B79" s="18"/>
      <c r="C79" s="17"/>
      <c r="D79" s="18"/>
      <c r="E79" s="17"/>
      <c r="F79" s="18"/>
      <c r="G79" s="17"/>
      <c r="H79" s="18"/>
      <c r="I79" s="17"/>
      <c r="J79" s="18"/>
      <c r="K79" s="17"/>
      <c r="L79" s="18"/>
      <c r="M79" s="17"/>
      <c r="N79" s="18"/>
      <c r="O79" s="17"/>
      <c r="P79" s="18"/>
      <c r="Q79" s="17"/>
      <c r="R79" s="18"/>
      <c r="S79" s="17"/>
      <c r="T79" s="18"/>
      <c r="U79" s="17"/>
      <c r="V79" s="18"/>
      <c r="W79" s="17"/>
      <c r="X79" s="18"/>
      <c r="Y79" s="17"/>
      <c r="Z79" s="18"/>
      <c r="AA79" s="17"/>
      <c r="AB79" s="18"/>
    </row>
    <row r="80" spans="1:28" ht="13.5" customHeight="1">
      <c r="A80" s="17"/>
      <c r="B80" s="18"/>
      <c r="C80" s="17"/>
      <c r="D80" s="18"/>
      <c r="E80" s="17"/>
      <c r="F80" s="18"/>
      <c r="G80" s="17"/>
      <c r="H80" s="18"/>
      <c r="I80" s="17"/>
      <c r="J80" s="18"/>
      <c r="K80" s="17"/>
      <c r="L80" s="18"/>
      <c r="M80" s="17"/>
      <c r="N80" s="18"/>
      <c r="O80" s="17"/>
      <c r="P80" s="18"/>
      <c r="Q80" s="17"/>
      <c r="R80" s="18"/>
      <c r="S80" s="17"/>
      <c r="T80" s="18"/>
      <c r="U80" s="17"/>
      <c r="V80" s="18"/>
      <c r="W80" s="17"/>
      <c r="X80" s="18"/>
      <c r="Y80" s="17"/>
      <c r="Z80" s="18"/>
      <c r="AA80" s="17"/>
      <c r="AB80" s="18"/>
    </row>
    <row r="81" spans="1:28" ht="13.5" customHeight="1">
      <c r="A81" s="17"/>
      <c r="B81" s="18"/>
      <c r="C81" s="17"/>
      <c r="D81" s="18"/>
      <c r="E81" s="17"/>
      <c r="F81" s="18"/>
      <c r="G81" s="17"/>
      <c r="H81" s="18"/>
      <c r="I81" s="17"/>
      <c r="J81" s="18"/>
      <c r="K81" s="17"/>
      <c r="L81" s="18"/>
      <c r="M81" s="17"/>
      <c r="N81" s="18"/>
      <c r="O81" s="17"/>
      <c r="P81" s="18"/>
      <c r="Q81" s="17"/>
      <c r="R81" s="18"/>
      <c r="S81" s="17"/>
      <c r="T81" s="18"/>
      <c r="U81" s="17"/>
      <c r="V81" s="18"/>
      <c r="W81" s="17"/>
      <c r="X81" s="18"/>
      <c r="Y81" s="17"/>
      <c r="Z81" s="18"/>
      <c r="AA81" s="17"/>
      <c r="AB81" s="18"/>
    </row>
    <row r="82" spans="1:28" ht="13.5" customHeight="1">
      <c r="A82" s="17"/>
      <c r="B82" s="18"/>
      <c r="C82" s="17"/>
      <c r="D82" s="18"/>
      <c r="E82" s="17"/>
      <c r="F82" s="18"/>
      <c r="G82" s="17"/>
      <c r="H82" s="18"/>
      <c r="I82" s="17"/>
      <c r="J82" s="18"/>
      <c r="K82" s="17"/>
      <c r="L82" s="18"/>
      <c r="M82" s="17"/>
      <c r="N82" s="18"/>
      <c r="O82" s="17"/>
      <c r="P82" s="18"/>
      <c r="Q82" s="17"/>
      <c r="R82" s="18"/>
      <c r="S82" s="17"/>
      <c r="T82" s="18"/>
      <c r="U82" s="17"/>
      <c r="V82" s="18"/>
      <c r="W82" s="17"/>
      <c r="X82" s="18"/>
      <c r="Y82" s="17"/>
      <c r="Z82" s="18"/>
      <c r="AA82" s="17"/>
      <c r="AB82" s="18"/>
    </row>
    <row r="83" spans="1:28" ht="13.5" customHeight="1">
      <c r="A83" s="17"/>
      <c r="B83" s="18"/>
      <c r="C83" s="17"/>
      <c r="D83" s="18"/>
      <c r="E83" s="17"/>
      <c r="F83" s="18"/>
      <c r="G83" s="17"/>
      <c r="H83" s="18"/>
      <c r="I83" s="17"/>
      <c r="J83" s="18"/>
      <c r="K83" s="17"/>
      <c r="L83" s="18"/>
      <c r="M83" s="17"/>
      <c r="N83" s="18"/>
      <c r="O83" s="17"/>
      <c r="P83" s="18"/>
      <c r="Q83" s="17"/>
      <c r="R83" s="18"/>
      <c r="S83" s="17"/>
      <c r="T83" s="18"/>
      <c r="U83" s="17"/>
      <c r="V83" s="18"/>
      <c r="W83" s="17"/>
      <c r="X83" s="18"/>
      <c r="Y83" s="17"/>
      <c r="Z83" s="18"/>
      <c r="AA83" s="17"/>
      <c r="AB83" s="18"/>
    </row>
    <row r="84" spans="1:28" ht="13.5" customHeight="1">
      <c r="A84" s="17"/>
      <c r="B84" s="18"/>
      <c r="C84" s="17"/>
      <c r="D84" s="18"/>
      <c r="E84" s="17"/>
      <c r="F84" s="18"/>
      <c r="G84" s="17"/>
      <c r="H84" s="18"/>
      <c r="I84" s="17"/>
      <c r="J84" s="18"/>
      <c r="K84" s="17"/>
      <c r="L84" s="18"/>
      <c r="M84" s="17"/>
      <c r="N84" s="18"/>
      <c r="O84" s="17"/>
      <c r="P84" s="18"/>
      <c r="Q84" s="17"/>
      <c r="R84" s="18"/>
      <c r="S84" s="17"/>
      <c r="T84" s="18"/>
      <c r="U84" s="17"/>
      <c r="V84" s="18"/>
      <c r="W84" s="17"/>
      <c r="X84" s="18"/>
      <c r="Y84" s="17"/>
      <c r="Z84" s="18"/>
      <c r="AA84" s="17"/>
      <c r="AB84" s="18"/>
    </row>
    <row r="85" spans="1:28" ht="13.5" customHeight="1">
      <c r="A85" s="17"/>
      <c r="B85" s="18"/>
      <c r="C85" s="17"/>
      <c r="D85" s="18"/>
      <c r="E85" s="17"/>
      <c r="F85" s="18"/>
      <c r="G85" s="17"/>
      <c r="H85" s="18"/>
      <c r="I85" s="17"/>
      <c r="J85" s="18"/>
      <c r="K85" s="17"/>
      <c r="L85" s="18"/>
      <c r="M85" s="17"/>
      <c r="N85" s="18"/>
      <c r="O85" s="17"/>
      <c r="P85" s="18"/>
      <c r="Q85" s="17"/>
      <c r="R85" s="18"/>
      <c r="S85" s="17"/>
      <c r="T85" s="18"/>
      <c r="U85" s="17"/>
      <c r="V85" s="18"/>
      <c r="W85" s="17"/>
      <c r="X85" s="18"/>
      <c r="Y85" s="17"/>
      <c r="Z85" s="18"/>
      <c r="AA85" s="17"/>
      <c r="AB85" s="18"/>
    </row>
    <row r="86" spans="1:28" ht="13.5" customHeight="1">
      <c r="A86" s="17"/>
      <c r="B86" s="18"/>
      <c r="C86" s="17"/>
      <c r="D86" s="18"/>
      <c r="E86" s="17"/>
      <c r="F86" s="18"/>
      <c r="G86" s="17"/>
      <c r="H86" s="18"/>
      <c r="I86" s="17"/>
      <c r="J86" s="18"/>
      <c r="K86" s="17"/>
      <c r="L86" s="18"/>
      <c r="M86" s="17"/>
      <c r="N86" s="18"/>
      <c r="O86" s="17"/>
      <c r="P86" s="18"/>
      <c r="Q86" s="17"/>
      <c r="R86" s="18"/>
      <c r="S86" s="17"/>
      <c r="T86" s="18"/>
      <c r="U86" s="17"/>
      <c r="V86" s="18"/>
      <c r="W86" s="17"/>
      <c r="X86" s="18"/>
      <c r="Y86" s="17"/>
      <c r="Z86" s="18"/>
      <c r="AA86" s="17"/>
      <c r="AB86" s="18"/>
    </row>
    <row r="87" spans="1:28" ht="13.5" customHeight="1">
      <c r="A87" s="17"/>
      <c r="B87" s="18"/>
      <c r="C87" s="17"/>
      <c r="D87" s="18"/>
      <c r="E87" s="17"/>
      <c r="F87" s="18"/>
      <c r="G87" s="17"/>
      <c r="H87" s="18"/>
      <c r="I87" s="17"/>
      <c r="J87" s="18"/>
      <c r="K87" s="17"/>
      <c r="L87" s="18"/>
      <c r="M87" s="17"/>
      <c r="N87" s="18"/>
      <c r="O87" s="17"/>
      <c r="P87" s="18"/>
      <c r="Q87" s="17"/>
      <c r="R87" s="18"/>
      <c r="S87" s="17"/>
      <c r="T87" s="18"/>
      <c r="U87" s="17"/>
      <c r="V87" s="18"/>
      <c r="W87" s="17"/>
      <c r="X87" s="18"/>
      <c r="Y87" s="17"/>
      <c r="Z87" s="18"/>
      <c r="AA87" s="17"/>
      <c r="AB87" s="18"/>
    </row>
    <row r="88" spans="1:28" ht="13.5" customHeight="1">
      <c r="A88" s="17"/>
      <c r="B88" s="18"/>
      <c r="C88" s="17"/>
      <c r="D88" s="18"/>
      <c r="E88" s="17"/>
      <c r="F88" s="18"/>
      <c r="G88" s="17"/>
      <c r="H88" s="18"/>
      <c r="I88" s="17"/>
      <c r="J88" s="18"/>
      <c r="K88" s="17"/>
      <c r="L88" s="18"/>
      <c r="M88" s="17"/>
      <c r="N88" s="18"/>
      <c r="O88" s="17"/>
      <c r="P88" s="18"/>
      <c r="Q88" s="17"/>
      <c r="R88" s="18"/>
      <c r="S88" s="17"/>
      <c r="T88" s="18"/>
      <c r="U88" s="17"/>
      <c r="V88" s="18"/>
      <c r="W88" s="17"/>
      <c r="X88" s="18"/>
      <c r="Y88" s="17"/>
      <c r="Z88" s="18"/>
      <c r="AA88" s="17"/>
      <c r="AB88" s="18"/>
    </row>
    <row r="89" spans="1:28" ht="13.5" customHeight="1">
      <c r="A89" s="17"/>
      <c r="B89" s="18"/>
      <c r="C89" s="17"/>
      <c r="D89" s="18"/>
      <c r="E89" s="17"/>
      <c r="F89" s="18"/>
      <c r="G89" s="17"/>
      <c r="H89" s="18"/>
      <c r="I89" s="17"/>
      <c r="J89" s="18"/>
      <c r="K89" s="17"/>
      <c r="L89" s="18"/>
      <c r="M89" s="17"/>
      <c r="N89" s="18"/>
      <c r="O89" s="17"/>
      <c r="P89" s="18"/>
      <c r="Q89" s="17"/>
      <c r="R89" s="18"/>
      <c r="S89" s="17"/>
      <c r="T89" s="18"/>
      <c r="U89" s="17"/>
      <c r="V89" s="18"/>
      <c r="W89" s="17"/>
      <c r="X89" s="18"/>
      <c r="Y89" s="17"/>
      <c r="Z89" s="18"/>
      <c r="AA89" s="17"/>
      <c r="AB89" s="18"/>
    </row>
    <row r="90" spans="1:28" ht="13.5" customHeight="1">
      <c r="A90" s="17"/>
      <c r="B90" s="18"/>
      <c r="C90" s="17"/>
      <c r="D90" s="18"/>
      <c r="E90" s="17"/>
      <c r="F90" s="18"/>
      <c r="G90" s="17"/>
      <c r="H90" s="18"/>
      <c r="I90" s="17"/>
      <c r="J90" s="18"/>
      <c r="K90" s="17"/>
      <c r="L90" s="18"/>
      <c r="M90" s="17"/>
      <c r="N90" s="18"/>
      <c r="O90" s="17"/>
      <c r="P90" s="18"/>
      <c r="Q90" s="17"/>
      <c r="R90" s="18"/>
      <c r="S90" s="17"/>
      <c r="T90" s="18"/>
      <c r="U90" s="17"/>
      <c r="V90" s="18"/>
      <c r="W90" s="17"/>
      <c r="X90" s="18"/>
      <c r="Y90" s="17"/>
      <c r="Z90" s="18"/>
      <c r="AA90" s="17"/>
      <c r="AB90" s="18"/>
    </row>
    <row r="91" spans="1:28" ht="13.5" customHeight="1">
      <c r="A91" s="17"/>
      <c r="B91" s="18"/>
      <c r="C91" s="17"/>
      <c r="D91" s="18"/>
      <c r="E91" s="17"/>
      <c r="F91" s="18"/>
      <c r="G91" s="17"/>
      <c r="H91" s="18"/>
      <c r="I91" s="17"/>
      <c r="J91" s="18"/>
      <c r="K91" s="17"/>
      <c r="L91" s="18"/>
      <c r="M91" s="17"/>
      <c r="N91" s="18"/>
      <c r="O91" s="17"/>
      <c r="P91" s="18"/>
      <c r="Q91" s="17"/>
      <c r="R91" s="18"/>
      <c r="S91" s="17"/>
      <c r="T91" s="18"/>
      <c r="U91" s="17"/>
      <c r="V91" s="18"/>
      <c r="W91" s="17"/>
      <c r="X91" s="18"/>
      <c r="Y91" s="17"/>
      <c r="Z91" s="18"/>
      <c r="AA91" s="17"/>
      <c r="AB91" s="18"/>
    </row>
    <row r="92" spans="1:28" ht="13.5" customHeight="1">
      <c r="A92" s="17"/>
      <c r="B92" s="18"/>
      <c r="C92" s="17"/>
      <c r="D92" s="18"/>
      <c r="E92" s="17"/>
      <c r="F92" s="18"/>
      <c r="G92" s="17"/>
      <c r="H92" s="18"/>
      <c r="I92" s="17"/>
      <c r="J92" s="18"/>
      <c r="K92" s="17"/>
      <c r="L92" s="18"/>
      <c r="M92" s="17"/>
      <c r="N92" s="18"/>
      <c r="O92" s="17"/>
      <c r="P92" s="18"/>
      <c r="Q92" s="17"/>
      <c r="R92" s="18"/>
      <c r="S92" s="17"/>
      <c r="T92" s="18"/>
      <c r="U92" s="17"/>
      <c r="V92" s="18"/>
      <c r="W92" s="17"/>
      <c r="X92" s="18"/>
      <c r="Y92" s="17"/>
      <c r="Z92" s="18"/>
      <c r="AA92" s="17"/>
      <c r="AB92" s="18"/>
    </row>
    <row r="93" spans="1:28" ht="13.5" customHeight="1">
      <c r="A93" s="17"/>
      <c r="B93" s="18"/>
      <c r="C93" s="17"/>
      <c r="D93" s="18"/>
      <c r="E93" s="17"/>
      <c r="F93" s="18"/>
      <c r="G93" s="17"/>
      <c r="H93" s="18"/>
      <c r="I93" s="17"/>
      <c r="J93" s="18"/>
      <c r="K93" s="17"/>
      <c r="L93" s="18"/>
      <c r="M93" s="17"/>
      <c r="N93" s="18"/>
      <c r="O93" s="17"/>
      <c r="P93" s="18"/>
      <c r="Q93" s="17"/>
      <c r="R93" s="18"/>
      <c r="S93" s="17"/>
      <c r="T93" s="18"/>
      <c r="U93" s="17"/>
      <c r="V93" s="18"/>
      <c r="W93" s="17"/>
      <c r="X93" s="18"/>
      <c r="Y93" s="17"/>
      <c r="Z93" s="18"/>
      <c r="AA93" s="17"/>
      <c r="AB93" s="18"/>
    </row>
    <row r="94" spans="1:28" ht="13.5" customHeight="1">
      <c r="A94" s="17"/>
      <c r="B94" s="18"/>
      <c r="C94" s="17"/>
      <c r="D94" s="18"/>
      <c r="E94" s="17"/>
      <c r="F94" s="18"/>
      <c r="G94" s="17"/>
      <c r="H94" s="18"/>
      <c r="I94" s="17"/>
      <c r="J94" s="18"/>
      <c r="K94" s="17"/>
      <c r="L94" s="18"/>
      <c r="M94" s="17"/>
      <c r="N94" s="18"/>
      <c r="O94" s="17"/>
      <c r="P94" s="18"/>
      <c r="Q94" s="17"/>
      <c r="R94" s="18"/>
      <c r="S94" s="17"/>
      <c r="T94" s="18"/>
      <c r="U94" s="17"/>
      <c r="V94" s="18"/>
      <c r="W94" s="17"/>
      <c r="X94" s="18"/>
      <c r="Y94" s="17"/>
      <c r="Z94" s="18"/>
      <c r="AA94" s="17"/>
      <c r="AB94" s="18"/>
    </row>
    <row r="95" spans="1:28" ht="13.5" customHeight="1">
      <c r="A95" s="17"/>
      <c r="B95" s="18"/>
      <c r="C95" s="17"/>
      <c r="D95" s="18"/>
      <c r="E95" s="17"/>
      <c r="F95" s="18"/>
      <c r="G95" s="17"/>
      <c r="H95" s="18"/>
      <c r="I95" s="17"/>
      <c r="J95" s="18"/>
      <c r="K95" s="17"/>
      <c r="L95" s="18"/>
      <c r="M95" s="17"/>
      <c r="N95" s="18"/>
      <c r="O95" s="17"/>
      <c r="P95" s="18"/>
      <c r="Q95" s="17"/>
      <c r="R95" s="18"/>
      <c r="S95" s="17"/>
      <c r="T95" s="18"/>
      <c r="U95" s="17"/>
      <c r="V95" s="18"/>
      <c r="W95" s="17"/>
      <c r="X95" s="18"/>
      <c r="Y95" s="17"/>
      <c r="Z95" s="18"/>
      <c r="AA95" s="17"/>
      <c r="AB95" s="18"/>
    </row>
    <row r="96" spans="1:28" ht="13.5" customHeight="1">
      <c r="A96" s="17"/>
      <c r="B96" s="18"/>
      <c r="C96" s="17"/>
      <c r="D96" s="18"/>
      <c r="E96" s="17"/>
      <c r="F96" s="18"/>
      <c r="G96" s="17"/>
      <c r="H96" s="18"/>
      <c r="I96" s="17"/>
      <c r="J96" s="18"/>
      <c r="K96" s="17"/>
      <c r="L96" s="18"/>
      <c r="M96" s="17"/>
      <c r="N96" s="18"/>
      <c r="O96" s="17"/>
      <c r="P96" s="18"/>
      <c r="Q96" s="17"/>
      <c r="R96" s="18"/>
      <c r="S96" s="17"/>
      <c r="T96" s="18"/>
      <c r="U96" s="17"/>
      <c r="V96" s="18"/>
      <c r="W96" s="17"/>
      <c r="X96" s="18"/>
      <c r="Y96" s="17"/>
      <c r="Z96" s="18"/>
      <c r="AA96" s="17"/>
      <c r="AB96" s="18"/>
    </row>
    <row r="97" spans="1:28" ht="13.5" customHeight="1">
      <c r="A97" s="17"/>
      <c r="B97" s="18"/>
      <c r="C97" s="17"/>
      <c r="D97" s="18"/>
      <c r="E97" s="17"/>
      <c r="F97" s="18"/>
      <c r="G97" s="17"/>
      <c r="H97" s="18"/>
      <c r="I97" s="17"/>
      <c r="J97" s="18"/>
      <c r="K97" s="17"/>
      <c r="L97" s="18"/>
      <c r="M97" s="17"/>
      <c r="N97" s="18"/>
      <c r="O97" s="17"/>
      <c r="P97" s="18"/>
      <c r="Q97" s="17"/>
      <c r="R97" s="18"/>
      <c r="S97" s="17"/>
      <c r="T97" s="18"/>
      <c r="U97" s="17"/>
      <c r="V97" s="18"/>
      <c r="W97" s="17"/>
      <c r="X97" s="18"/>
      <c r="Y97" s="17"/>
      <c r="Z97" s="18"/>
      <c r="AA97" s="17"/>
      <c r="AB97" s="18"/>
    </row>
    <row r="98" spans="1:28" ht="13.5" customHeight="1">
      <c r="A98" s="17"/>
      <c r="B98" s="18"/>
      <c r="C98" s="17"/>
      <c r="D98" s="18"/>
      <c r="E98" s="17"/>
      <c r="F98" s="18"/>
      <c r="G98" s="17"/>
      <c r="H98" s="18"/>
      <c r="I98" s="17"/>
      <c r="J98" s="18"/>
      <c r="K98" s="17"/>
      <c r="L98" s="18"/>
      <c r="M98" s="17"/>
      <c r="N98" s="18"/>
      <c r="O98" s="17"/>
      <c r="P98" s="18"/>
      <c r="Q98" s="17"/>
      <c r="R98" s="18"/>
      <c r="S98" s="17"/>
      <c r="T98" s="18"/>
      <c r="U98" s="17"/>
      <c r="V98" s="18"/>
      <c r="W98" s="17"/>
      <c r="X98" s="18"/>
      <c r="Y98" s="17"/>
      <c r="Z98" s="18"/>
      <c r="AA98" s="17"/>
      <c r="AB98" s="18"/>
    </row>
    <row r="99" spans="1:28" ht="13.5" customHeight="1">
      <c r="A99" s="17"/>
      <c r="B99" s="18"/>
      <c r="C99" s="17"/>
      <c r="D99" s="18"/>
      <c r="E99" s="17"/>
      <c r="F99" s="18"/>
      <c r="G99" s="17"/>
      <c r="H99" s="18"/>
      <c r="I99" s="17"/>
      <c r="J99" s="18"/>
      <c r="K99" s="17"/>
      <c r="L99" s="18"/>
      <c r="M99" s="17"/>
      <c r="N99" s="18"/>
      <c r="O99" s="17"/>
      <c r="P99" s="18"/>
      <c r="Q99" s="17"/>
      <c r="R99" s="18"/>
      <c r="S99" s="17"/>
      <c r="T99" s="18"/>
      <c r="U99" s="17"/>
      <c r="V99" s="18"/>
      <c r="W99" s="17"/>
      <c r="X99" s="18"/>
      <c r="Y99" s="17"/>
      <c r="Z99" s="18"/>
      <c r="AA99" s="17"/>
      <c r="AB99" s="18"/>
    </row>
    <row r="100" spans="1:28" ht="13.5" customHeight="1">
      <c r="A100" s="17"/>
      <c r="B100" s="18"/>
      <c r="C100" s="17"/>
      <c r="D100" s="18"/>
      <c r="E100" s="17"/>
      <c r="F100" s="18"/>
      <c r="G100" s="17"/>
      <c r="H100" s="18"/>
      <c r="I100" s="17"/>
      <c r="J100" s="18"/>
      <c r="K100" s="17"/>
      <c r="L100" s="18"/>
      <c r="M100" s="17"/>
      <c r="N100" s="18"/>
      <c r="O100" s="17"/>
      <c r="P100" s="18"/>
      <c r="Q100" s="17"/>
      <c r="R100" s="18"/>
      <c r="S100" s="17"/>
      <c r="T100" s="18"/>
      <c r="U100" s="17"/>
      <c r="V100" s="18"/>
      <c r="W100" s="17"/>
      <c r="X100" s="18"/>
      <c r="Y100" s="17"/>
      <c r="Z100" s="18"/>
      <c r="AA100" s="17"/>
      <c r="AB100" s="18"/>
    </row>
    <row r="101" spans="1:28" ht="13.5" customHeight="1">
      <c r="A101" s="17"/>
      <c r="B101" s="18"/>
      <c r="C101" s="17"/>
      <c r="D101" s="18"/>
      <c r="E101" s="17"/>
      <c r="F101" s="18"/>
      <c r="G101" s="17"/>
      <c r="H101" s="18"/>
      <c r="I101" s="17"/>
      <c r="J101" s="18"/>
      <c r="K101" s="17"/>
      <c r="L101" s="18"/>
      <c r="M101" s="17"/>
      <c r="N101" s="18"/>
      <c r="O101" s="17"/>
      <c r="P101" s="18"/>
      <c r="Q101" s="17"/>
      <c r="R101" s="18"/>
      <c r="S101" s="17"/>
      <c r="T101" s="18"/>
      <c r="U101" s="17"/>
      <c r="V101" s="18"/>
      <c r="W101" s="17"/>
      <c r="X101" s="18"/>
      <c r="Y101" s="17"/>
      <c r="Z101" s="18"/>
      <c r="AA101" s="17"/>
      <c r="AB101" s="18"/>
    </row>
    <row r="102" spans="1:28" ht="13.5" customHeight="1">
      <c r="A102" s="17"/>
      <c r="B102" s="18"/>
      <c r="C102" s="17"/>
      <c r="D102" s="18"/>
      <c r="E102" s="17"/>
      <c r="F102" s="18"/>
      <c r="G102" s="17"/>
      <c r="H102" s="18"/>
      <c r="I102" s="17"/>
      <c r="J102" s="18"/>
      <c r="K102" s="17"/>
      <c r="L102" s="18"/>
      <c r="M102" s="17"/>
      <c r="N102" s="18"/>
      <c r="O102" s="17"/>
      <c r="P102" s="18"/>
      <c r="Q102" s="17"/>
      <c r="R102" s="18"/>
      <c r="S102" s="17"/>
      <c r="T102" s="18"/>
      <c r="U102" s="17"/>
      <c r="V102" s="18"/>
      <c r="W102" s="17"/>
      <c r="X102" s="18"/>
      <c r="Y102" s="17"/>
      <c r="Z102" s="18"/>
      <c r="AA102" s="17"/>
      <c r="AB102" s="18"/>
    </row>
    <row r="103" spans="1:28" ht="13.5" customHeight="1">
      <c r="A103" s="17"/>
      <c r="B103" s="18"/>
      <c r="C103" s="17"/>
      <c r="D103" s="18"/>
      <c r="E103" s="17"/>
      <c r="F103" s="18"/>
      <c r="G103" s="17"/>
      <c r="H103" s="18"/>
      <c r="I103" s="17"/>
      <c r="J103" s="18"/>
      <c r="K103" s="17"/>
      <c r="L103" s="18"/>
      <c r="M103" s="17"/>
      <c r="N103" s="18"/>
      <c r="O103" s="17"/>
      <c r="P103" s="18"/>
      <c r="Q103" s="17"/>
      <c r="R103" s="18"/>
      <c r="S103" s="17"/>
      <c r="T103" s="18"/>
      <c r="U103" s="17"/>
      <c r="V103" s="18"/>
      <c r="W103" s="17"/>
      <c r="X103" s="18"/>
      <c r="Y103" s="17"/>
      <c r="Z103" s="18"/>
      <c r="AA103" s="17"/>
      <c r="AB103" s="18"/>
    </row>
    <row r="104" spans="1:28" ht="13.5" customHeight="1">
      <c r="A104" s="17"/>
      <c r="B104" s="18"/>
      <c r="C104" s="17"/>
      <c r="D104" s="18"/>
      <c r="E104" s="17"/>
      <c r="F104" s="18"/>
      <c r="G104" s="17"/>
      <c r="H104" s="18"/>
      <c r="I104" s="17"/>
      <c r="J104" s="18"/>
      <c r="K104" s="17"/>
      <c r="L104" s="18"/>
      <c r="M104" s="17"/>
      <c r="N104" s="18"/>
      <c r="O104" s="17"/>
      <c r="P104" s="18"/>
      <c r="Q104" s="17"/>
      <c r="R104" s="18"/>
      <c r="S104" s="17"/>
      <c r="T104" s="18"/>
      <c r="U104" s="17"/>
      <c r="V104" s="18"/>
      <c r="W104" s="17"/>
      <c r="X104" s="18"/>
      <c r="Y104" s="17"/>
      <c r="Z104" s="18"/>
      <c r="AA104" s="17"/>
      <c r="AB104" s="18"/>
    </row>
    <row r="105" spans="1:28" ht="13.5" customHeight="1">
      <c r="A105" s="17"/>
      <c r="B105" s="18"/>
      <c r="C105" s="17"/>
      <c r="D105" s="18"/>
      <c r="E105" s="17"/>
      <c r="F105" s="18"/>
      <c r="G105" s="17"/>
      <c r="H105" s="18"/>
      <c r="I105" s="17"/>
      <c r="J105" s="18"/>
      <c r="K105" s="17"/>
      <c r="L105" s="18"/>
      <c r="M105" s="17"/>
      <c r="N105" s="18"/>
      <c r="O105" s="17"/>
      <c r="P105" s="18"/>
      <c r="Q105" s="17"/>
      <c r="R105" s="18"/>
      <c r="S105" s="17"/>
      <c r="T105" s="18"/>
      <c r="U105" s="17"/>
      <c r="V105" s="18"/>
      <c r="W105" s="17"/>
      <c r="X105" s="18"/>
      <c r="Y105" s="17"/>
      <c r="Z105" s="18"/>
      <c r="AA105" s="17"/>
      <c r="AB105" s="18"/>
    </row>
    <row r="106" spans="1:28" ht="13.5" customHeight="1">
      <c r="A106" s="17"/>
      <c r="B106" s="18"/>
      <c r="C106" s="17"/>
      <c r="D106" s="18"/>
      <c r="E106" s="17"/>
      <c r="F106" s="18"/>
      <c r="G106" s="17"/>
      <c r="H106" s="18"/>
      <c r="I106" s="17"/>
      <c r="J106" s="18"/>
      <c r="K106" s="17"/>
      <c r="L106" s="18"/>
      <c r="M106" s="17"/>
      <c r="N106" s="18"/>
      <c r="O106" s="17"/>
      <c r="P106" s="18"/>
      <c r="Q106" s="17"/>
      <c r="R106" s="18"/>
      <c r="S106" s="17"/>
      <c r="T106" s="18"/>
      <c r="U106" s="17"/>
      <c r="V106" s="18"/>
      <c r="W106" s="17"/>
      <c r="X106" s="18"/>
      <c r="Y106" s="17"/>
      <c r="Z106" s="18"/>
      <c r="AA106" s="17"/>
      <c r="AB106" s="18"/>
    </row>
    <row r="107" spans="1:28" ht="13.5" customHeight="1">
      <c r="A107" s="17"/>
      <c r="B107" s="18"/>
      <c r="C107" s="17"/>
      <c r="D107" s="18"/>
      <c r="E107" s="17"/>
      <c r="F107" s="18"/>
      <c r="G107" s="17"/>
      <c r="H107" s="18"/>
      <c r="I107" s="17"/>
      <c r="J107" s="18"/>
      <c r="K107" s="17"/>
      <c r="L107" s="18"/>
      <c r="M107" s="17"/>
      <c r="N107" s="18"/>
      <c r="O107" s="17"/>
      <c r="P107" s="18"/>
      <c r="Q107" s="19"/>
      <c r="R107" s="18"/>
      <c r="S107" s="17"/>
      <c r="T107" s="18"/>
      <c r="U107" s="17"/>
      <c r="V107" s="18"/>
      <c r="W107" s="17"/>
      <c r="X107" s="18"/>
      <c r="Y107" s="17"/>
      <c r="Z107" s="18"/>
      <c r="AA107" s="17"/>
      <c r="AB107" s="18"/>
    </row>
  </sheetData>
  <mergeCells count="45">
    <mergeCell ref="M2:P2"/>
    <mergeCell ref="A1:AB1"/>
    <mergeCell ref="E2:H2"/>
    <mergeCell ref="Q2:T2"/>
    <mergeCell ref="U2:X2"/>
    <mergeCell ref="Y2:AB2"/>
    <mergeCell ref="U11:X11"/>
    <mergeCell ref="Y11:AB11"/>
    <mergeCell ref="A2:D2"/>
    <mergeCell ref="E20:H20"/>
    <mergeCell ref="I20:L20"/>
    <mergeCell ref="M20:P20"/>
    <mergeCell ref="Q20:T20"/>
    <mergeCell ref="U20:X20"/>
    <mergeCell ref="Y20:AB20"/>
    <mergeCell ref="A11:D11"/>
    <mergeCell ref="E11:H11"/>
    <mergeCell ref="I11:L11"/>
    <mergeCell ref="M11:P11"/>
    <mergeCell ref="Q11:T11"/>
    <mergeCell ref="A20:D20"/>
    <mergeCell ref="I2:L2"/>
    <mergeCell ref="U29:X29"/>
    <mergeCell ref="Y29:AB29"/>
    <mergeCell ref="A38:D38"/>
    <mergeCell ref="E38:H38"/>
    <mergeCell ref="M38:P38"/>
    <mergeCell ref="Q38:T38"/>
    <mergeCell ref="U38:X38"/>
    <mergeCell ref="Y38:AB38"/>
    <mergeCell ref="A29:D29"/>
    <mergeCell ref="E29:H29"/>
    <mergeCell ref="I29:L29"/>
    <mergeCell ref="M29:P29"/>
    <mergeCell ref="Q29:T29"/>
    <mergeCell ref="I38:L38"/>
    <mergeCell ref="A56:AB56"/>
    <mergeCell ref="A63:AA63"/>
    <mergeCell ref="A47:D47"/>
    <mergeCell ref="E47:H47"/>
    <mergeCell ref="I47:L47"/>
    <mergeCell ref="M47:P47"/>
    <mergeCell ref="Q47:T47"/>
    <mergeCell ref="U47:X47"/>
    <mergeCell ref="Y47:AB47"/>
  </mergeCells>
  <printOptions horizontalCentered="1" verticalCentered="1"/>
  <pageMargins left="0" right="0.31496062992125984" top="0" bottom="0" header="0" footer="0"/>
  <pageSetup paperSize="8" scale="20" orientation="landscape" r:id="rId1"/>
  <headerFooter scaleWithDoc="0">
    <oddFooter>&amp;C&amp;"Helvetica Neue,Regular"&amp;12&amp;K000000&amp;P</oddFooter>
  </headerFooter>
  <rowBreaks count="2" manualBreakCount="2">
    <brk id="1" max="27" man="1"/>
    <brk id="6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showGridLines="0" zoomScale="57" zoomScaleNormal="57" workbookViewId="0">
      <selection activeCell="R21" sqref="R21"/>
    </sheetView>
  </sheetViews>
  <sheetFormatPr defaultColWidth="8.85546875" defaultRowHeight="14.45" customHeight="1"/>
  <cols>
    <col min="1" max="1" width="1.42578125" style="6" customWidth="1"/>
    <col min="2" max="2" width="36.28515625" style="6" customWidth="1"/>
    <col min="3" max="3" width="10.7109375" style="12" customWidth="1"/>
    <col min="4" max="4" width="35.5703125" style="6" customWidth="1"/>
    <col min="5" max="5" width="10.7109375" style="12" customWidth="1"/>
    <col min="6" max="6" width="36" style="6" customWidth="1"/>
    <col min="7" max="7" width="10.7109375" style="12" customWidth="1"/>
    <col min="8" max="8" width="35.85546875" style="6" customWidth="1"/>
    <col min="9" max="9" width="10.7109375" style="12" customWidth="1"/>
    <col min="10" max="10" width="35.5703125" style="6" customWidth="1"/>
    <col min="11" max="11" width="10.7109375" style="12" customWidth="1"/>
    <col min="12" max="12" width="35.5703125" style="6" customWidth="1"/>
    <col min="13" max="13" width="10.7109375" style="12" customWidth="1"/>
    <col min="14" max="14" width="36.28515625" style="6" customWidth="1"/>
    <col min="15" max="15" width="10.7109375" style="12" customWidth="1"/>
    <col min="16" max="16" width="8.85546875" style="6" customWidth="1"/>
    <col min="17" max="16384" width="8.85546875" style="6"/>
  </cols>
  <sheetData>
    <row r="1" spans="1:15" ht="8.1" customHeight="1" thickBot="1">
      <c r="A1" s="3"/>
      <c r="B1" s="4"/>
      <c r="C1" s="5"/>
      <c r="D1" s="4"/>
      <c r="E1" s="5"/>
      <c r="F1" s="4"/>
      <c r="G1" s="5"/>
      <c r="H1" s="4"/>
      <c r="I1" s="5"/>
      <c r="J1" s="4"/>
      <c r="K1" s="5"/>
      <c r="L1" s="4"/>
      <c r="M1" s="5"/>
      <c r="N1" s="4"/>
      <c r="O1" s="5"/>
    </row>
    <row r="2" spans="1:15" ht="25.5" customHeight="1" thickBot="1">
      <c r="A2" s="7"/>
      <c r="B2" s="326" t="s">
        <v>207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8"/>
    </row>
    <row r="3" spans="1:15" ht="15.6" customHeight="1" thickBot="1">
      <c r="A3" s="7"/>
      <c r="B3" s="196"/>
      <c r="C3" s="187"/>
      <c r="D3" s="186"/>
      <c r="E3" s="188"/>
      <c r="F3" s="186"/>
      <c r="G3" s="188"/>
      <c r="H3" s="186"/>
      <c r="I3" s="188"/>
      <c r="J3" s="244" t="s">
        <v>106</v>
      </c>
      <c r="K3" s="62" t="s">
        <v>1</v>
      </c>
      <c r="L3" s="59" t="s">
        <v>135</v>
      </c>
      <c r="M3" s="62" t="s">
        <v>1</v>
      </c>
      <c r="N3" s="57" t="s">
        <v>136</v>
      </c>
      <c r="O3" s="62" t="s">
        <v>1</v>
      </c>
    </row>
    <row r="4" spans="1:15" ht="15.6" customHeight="1">
      <c r="A4" s="7"/>
      <c r="B4" s="197"/>
      <c r="C4" s="190"/>
      <c r="D4" s="189"/>
      <c r="E4" s="190"/>
      <c r="F4" s="189"/>
      <c r="G4" s="190"/>
      <c r="H4" s="189"/>
      <c r="I4" s="190"/>
      <c r="J4" s="66" t="s">
        <v>19</v>
      </c>
      <c r="K4" s="118">
        <v>120</v>
      </c>
      <c r="L4" s="28" t="s">
        <v>19</v>
      </c>
      <c r="M4" s="118">
        <v>120</v>
      </c>
      <c r="N4" s="66" t="s">
        <v>19</v>
      </c>
      <c r="O4" s="127">
        <v>120</v>
      </c>
    </row>
    <row r="5" spans="1:15" ht="15.6" customHeight="1">
      <c r="A5" s="7"/>
      <c r="B5" s="197"/>
      <c r="C5" s="190"/>
      <c r="D5" s="189"/>
      <c r="E5" s="190"/>
      <c r="F5" s="189"/>
      <c r="G5" s="190"/>
      <c r="H5" s="189"/>
      <c r="I5" s="190"/>
      <c r="J5" s="194" t="s">
        <v>20</v>
      </c>
      <c r="K5" s="198">
        <v>40</v>
      </c>
      <c r="L5" s="178" t="s">
        <v>20</v>
      </c>
      <c r="M5" s="198">
        <v>40</v>
      </c>
      <c r="N5" s="194" t="s">
        <v>20</v>
      </c>
      <c r="O5" s="177">
        <v>40</v>
      </c>
    </row>
    <row r="6" spans="1:15" ht="15.6" customHeight="1">
      <c r="A6" s="7"/>
      <c r="B6" s="197"/>
      <c r="C6" s="190"/>
      <c r="D6" s="189"/>
      <c r="E6" s="190"/>
      <c r="F6" s="189"/>
      <c r="G6" s="190"/>
      <c r="H6" s="189"/>
      <c r="I6" s="190"/>
      <c r="J6" s="194" t="s">
        <v>21</v>
      </c>
      <c r="K6" s="198">
        <v>8</v>
      </c>
      <c r="L6" s="178" t="s">
        <v>21</v>
      </c>
      <c r="M6" s="198">
        <v>8</v>
      </c>
      <c r="N6" s="194" t="s">
        <v>21</v>
      </c>
      <c r="O6" s="177">
        <v>8</v>
      </c>
    </row>
    <row r="7" spans="1:15" ht="15.6" customHeight="1">
      <c r="A7" s="7"/>
      <c r="B7" s="199"/>
      <c r="C7" s="190"/>
      <c r="D7" s="191"/>
      <c r="E7" s="190"/>
      <c r="F7" s="189"/>
      <c r="G7" s="190"/>
      <c r="H7" s="189"/>
      <c r="I7" s="190"/>
      <c r="J7" s="176" t="s">
        <v>72</v>
      </c>
      <c r="K7" s="177">
        <v>78</v>
      </c>
      <c r="L7" s="200" t="s">
        <v>67</v>
      </c>
      <c r="M7" s="201">
        <v>65</v>
      </c>
      <c r="N7" s="179" t="s">
        <v>68</v>
      </c>
      <c r="O7" s="177">
        <v>140</v>
      </c>
    </row>
    <row r="8" spans="1:15" ht="15.6" customHeight="1">
      <c r="A8" s="7"/>
      <c r="B8" s="197"/>
      <c r="C8" s="190"/>
      <c r="D8" s="189"/>
      <c r="E8" s="190"/>
      <c r="F8" s="189"/>
      <c r="G8" s="190"/>
      <c r="H8" s="189"/>
      <c r="I8" s="190"/>
      <c r="J8" s="202" t="s">
        <v>185</v>
      </c>
      <c r="K8" s="177">
        <v>117</v>
      </c>
      <c r="L8" s="159" t="s">
        <v>203</v>
      </c>
      <c r="M8" s="86">
        <v>58</v>
      </c>
      <c r="N8" s="160" t="s">
        <v>72</v>
      </c>
      <c r="O8" s="86">
        <v>78</v>
      </c>
    </row>
    <row r="9" spans="1:15" ht="15.6" customHeight="1">
      <c r="A9" s="8"/>
      <c r="B9" s="197"/>
      <c r="C9" s="190"/>
      <c r="D9" s="189"/>
      <c r="E9" s="190"/>
      <c r="F9" s="189"/>
      <c r="G9" s="190"/>
      <c r="H9" s="189"/>
      <c r="I9" s="190"/>
      <c r="J9" s="166" t="s">
        <v>180</v>
      </c>
      <c r="K9" s="87">
        <v>115</v>
      </c>
      <c r="L9" s="172" t="s">
        <v>182</v>
      </c>
      <c r="M9" s="86">
        <v>205</v>
      </c>
      <c r="N9" s="161" t="s">
        <v>58</v>
      </c>
      <c r="O9" s="169">
        <v>147</v>
      </c>
    </row>
    <row r="10" spans="1:15" ht="15.6" customHeight="1" thickBot="1">
      <c r="A10" s="9"/>
      <c r="B10" s="197"/>
      <c r="C10" s="190"/>
      <c r="D10" s="189"/>
      <c r="E10" s="190"/>
      <c r="F10" s="189"/>
      <c r="G10" s="190"/>
      <c r="H10" s="189"/>
      <c r="I10" s="190"/>
      <c r="J10" s="195" t="s">
        <v>183</v>
      </c>
      <c r="K10" s="169">
        <v>312</v>
      </c>
      <c r="L10" s="161" t="s">
        <v>73</v>
      </c>
      <c r="M10" s="169">
        <v>275</v>
      </c>
      <c r="N10" s="158" t="s">
        <v>190</v>
      </c>
      <c r="O10" s="169">
        <v>322</v>
      </c>
    </row>
    <row r="11" spans="1:15" ht="15.75" customHeight="1" thickBot="1">
      <c r="A11" s="10"/>
      <c r="B11" s="203"/>
      <c r="C11" s="193"/>
      <c r="D11" s="192"/>
      <c r="E11" s="193"/>
      <c r="F11" s="192"/>
      <c r="G11" s="193"/>
      <c r="H11" s="192"/>
      <c r="I11" s="193"/>
      <c r="J11" s="33" t="s">
        <v>3</v>
      </c>
      <c r="K11" s="34">
        <f>SUM(K4:K10)</f>
        <v>790</v>
      </c>
      <c r="L11" s="43" t="s">
        <v>3</v>
      </c>
      <c r="M11" s="34">
        <f>SUM(M4:M10)</f>
        <v>771</v>
      </c>
      <c r="N11" s="40" t="s">
        <v>3</v>
      </c>
      <c r="O11" s="32">
        <f>SUM(O4:O10)</f>
        <v>855</v>
      </c>
    </row>
    <row r="12" spans="1:15" ht="15.6" customHeight="1" thickBot="1">
      <c r="A12" s="7"/>
      <c r="B12" s="60" t="s">
        <v>107</v>
      </c>
      <c r="C12" s="58" t="s">
        <v>1</v>
      </c>
      <c r="D12" s="82" t="s">
        <v>129</v>
      </c>
      <c r="E12" s="58" t="s">
        <v>1</v>
      </c>
      <c r="F12" s="82" t="s">
        <v>130</v>
      </c>
      <c r="G12" s="58" t="s">
        <v>1</v>
      </c>
      <c r="H12" s="61" t="s">
        <v>158</v>
      </c>
      <c r="I12" s="58" t="s">
        <v>1</v>
      </c>
      <c r="J12" s="61" t="s">
        <v>132</v>
      </c>
      <c r="K12" s="58" t="s">
        <v>1</v>
      </c>
      <c r="L12" s="61" t="s">
        <v>133</v>
      </c>
      <c r="M12" s="58" t="s">
        <v>1</v>
      </c>
      <c r="N12" s="82" t="s">
        <v>134</v>
      </c>
      <c r="O12" s="58" t="s">
        <v>1</v>
      </c>
    </row>
    <row r="13" spans="1:15" ht="15.6" customHeight="1">
      <c r="A13" s="7"/>
      <c r="B13" s="66" t="s">
        <v>19</v>
      </c>
      <c r="C13" s="127">
        <v>120</v>
      </c>
      <c r="D13" s="28" t="s">
        <v>19</v>
      </c>
      <c r="E13" s="127">
        <v>120</v>
      </c>
      <c r="F13" s="56" t="s">
        <v>19</v>
      </c>
      <c r="G13" s="127">
        <v>120</v>
      </c>
      <c r="H13" s="56" t="s">
        <v>19</v>
      </c>
      <c r="I13" s="127">
        <v>120</v>
      </c>
      <c r="J13" s="56" t="s">
        <v>19</v>
      </c>
      <c r="K13" s="127">
        <v>120</v>
      </c>
      <c r="L13" s="28" t="s">
        <v>19</v>
      </c>
      <c r="M13" s="118">
        <v>120</v>
      </c>
      <c r="N13" s="28" t="s">
        <v>19</v>
      </c>
      <c r="O13" s="127">
        <v>120</v>
      </c>
    </row>
    <row r="14" spans="1:15" ht="15.6" customHeight="1">
      <c r="A14" s="7"/>
      <c r="B14" s="88" t="s">
        <v>20</v>
      </c>
      <c r="C14" s="86">
        <v>40</v>
      </c>
      <c r="D14" s="172" t="s">
        <v>20</v>
      </c>
      <c r="E14" s="86">
        <v>40</v>
      </c>
      <c r="F14" s="155" t="s">
        <v>20</v>
      </c>
      <c r="G14" s="86">
        <v>40</v>
      </c>
      <c r="H14" s="155" t="s">
        <v>20</v>
      </c>
      <c r="I14" s="86">
        <v>40</v>
      </c>
      <c r="J14" s="155" t="s">
        <v>20</v>
      </c>
      <c r="K14" s="86">
        <v>40</v>
      </c>
      <c r="L14" s="172" t="s">
        <v>20</v>
      </c>
      <c r="M14" s="89">
        <v>40</v>
      </c>
      <c r="N14" s="172" t="s">
        <v>20</v>
      </c>
      <c r="O14" s="86">
        <v>40</v>
      </c>
    </row>
    <row r="15" spans="1:15" ht="15.6" customHeight="1">
      <c r="A15" s="7"/>
      <c r="B15" s="88" t="s">
        <v>21</v>
      </c>
      <c r="C15" s="86">
        <v>8</v>
      </c>
      <c r="D15" s="172" t="s">
        <v>21</v>
      </c>
      <c r="E15" s="86">
        <v>8</v>
      </c>
      <c r="F15" s="155" t="s">
        <v>21</v>
      </c>
      <c r="G15" s="86">
        <v>8</v>
      </c>
      <c r="H15" s="155" t="s">
        <v>21</v>
      </c>
      <c r="I15" s="86">
        <v>8</v>
      </c>
      <c r="J15" s="155" t="s">
        <v>21</v>
      </c>
      <c r="K15" s="86">
        <v>8</v>
      </c>
      <c r="L15" s="172" t="s">
        <v>21</v>
      </c>
      <c r="M15" s="89">
        <v>8</v>
      </c>
      <c r="N15" s="172" t="s">
        <v>21</v>
      </c>
      <c r="O15" s="86">
        <v>8</v>
      </c>
    </row>
    <row r="16" spans="1:15" ht="15.6" customHeight="1">
      <c r="A16" s="7"/>
      <c r="B16" s="163" t="s">
        <v>180</v>
      </c>
      <c r="C16" s="86">
        <v>115</v>
      </c>
      <c r="D16" s="155" t="s">
        <v>184</v>
      </c>
      <c r="E16" s="86">
        <v>50</v>
      </c>
      <c r="F16" s="164" t="s">
        <v>204</v>
      </c>
      <c r="G16" s="86">
        <v>113</v>
      </c>
      <c r="H16" s="156" t="s">
        <v>71</v>
      </c>
      <c r="I16" s="157">
        <v>215</v>
      </c>
      <c r="J16" s="155" t="s">
        <v>68</v>
      </c>
      <c r="K16" s="86">
        <v>140</v>
      </c>
      <c r="L16" s="155" t="s">
        <v>180</v>
      </c>
      <c r="M16" s="86">
        <v>115</v>
      </c>
      <c r="N16" s="155" t="s">
        <v>69</v>
      </c>
      <c r="O16" s="86">
        <v>109</v>
      </c>
    </row>
    <row r="17" spans="1:15" ht="15.6" customHeight="1">
      <c r="A17" s="7"/>
      <c r="B17" s="165" t="s">
        <v>69</v>
      </c>
      <c r="C17" s="86">
        <v>109</v>
      </c>
      <c r="D17" s="166" t="s">
        <v>185</v>
      </c>
      <c r="E17" s="86">
        <v>117</v>
      </c>
      <c r="F17" s="160" t="s">
        <v>202</v>
      </c>
      <c r="G17" s="86">
        <v>63</v>
      </c>
      <c r="H17" s="158" t="s">
        <v>75</v>
      </c>
      <c r="I17" s="86">
        <v>76</v>
      </c>
      <c r="J17" s="159" t="s">
        <v>72</v>
      </c>
      <c r="K17" s="86">
        <v>78</v>
      </c>
      <c r="L17" s="166" t="s">
        <v>58</v>
      </c>
      <c r="M17" s="86">
        <v>147</v>
      </c>
      <c r="N17" s="160" t="s">
        <v>67</v>
      </c>
      <c r="O17" s="86">
        <v>65</v>
      </c>
    </row>
    <row r="18" spans="1:15" ht="15.6" customHeight="1">
      <c r="A18" s="8"/>
      <c r="B18" s="165" t="s">
        <v>226</v>
      </c>
      <c r="C18" s="86">
        <v>112</v>
      </c>
      <c r="D18" s="155" t="s">
        <v>72</v>
      </c>
      <c r="E18" s="86">
        <v>78</v>
      </c>
      <c r="F18" s="159" t="s">
        <v>103</v>
      </c>
      <c r="G18" s="86">
        <v>82</v>
      </c>
      <c r="H18" s="161" t="s">
        <v>190</v>
      </c>
      <c r="I18" s="87">
        <v>322</v>
      </c>
      <c r="J18" s="155" t="s">
        <v>70</v>
      </c>
      <c r="K18" s="86">
        <v>55</v>
      </c>
      <c r="L18" s="166" t="s">
        <v>186</v>
      </c>
      <c r="M18" s="86">
        <v>381</v>
      </c>
      <c r="N18" s="161" t="s">
        <v>29</v>
      </c>
      <c r="O18" s="169">
        <v>358</v>
      </c>
    </row>
    <row r="19" spans="1:15" ht="15.6" customHeight="1" thickBot="1">
      <c r="A19" s="9"/>
      <c r="B19" s="204" t="s">
        <v>26</v>
      </c>
      <c r="C19" s="205">
        <v>90</v>
      </c>
      <c r="D19" s="162" t="s">
        <v>187</v>
      </c>
      <c r="E19" s="169">
        <v>311</v>
      </c>
      <c r="F19" s="167" t="s">
        <v>78</v>
      </c>
      <c r="G19" s="169">
        <v>183</v>
      </c>
      <c r="H19" s="167" t="s">
        <v>188</v>
      </c>
      <c r="I19" s="169">
        <v>238</v>
      </c>
      <c r="J19" s="161" t="s">
        <v>183</v>
      </c>
      <c r="K19" s="169">
        <v>312</v>
      </c>
      <c r="L19" s="206" t="s">
        <v>74</v>
      </c>
      <c r="M19" s="169">
        <v>242</v>
      </c>
      <c r="N19" s="182" t="s">
        <v>72</v>
      </c>
      <c r="O19" s="169">
        <v>78</v>
      </c>
    </row>
    <row r="20" spans="1:15" ht="16.350000000000001" customHeight="1" thickBot="1">
      <c r="A20" s="10"/>
      <c r="B20" s="33" t="s">
        <v>3</v>
      </c>
      <c r="C20" s="34">
        <f>SUM(C13:C19)</f>
        <v>594</v>
      </c>
      <c r="D20" s="43" t="s">
        <v>3</v>
      </c>
      <c r="E20" s="34">
        <f>SUM(E13:E19)</f>
        <v>724</v>
      </c>
      <c r="F20" s="43" t="s">
        <v>3</v>
      </c>
      <c r="G20" s="34">
        <f>SUM(G13:G19)</f>
        <v>609</v>
      </c>
      <c r="H20" s="43" t="s">
        <v>3</v>
      </c>
      <c r="I20" s="34">
        <f>SUM(I13:I19)</f>
        <v>1019</v>
      </c>
      <c r="J20" s="43" t="s">
        <v>3</v>
      </c>
      <c r="K20" s="34">
        <f>SUM(K13:K19)</f>
        <v>753</v>
      </c>
      <c r="L20" s="43" t="s">
        <v>3</v>
      </c>
      <c r="M20" s="34">
        <f>SUM(M13:M19)</f>
        <v>1053</v>
      </c>
      <c r="N20" s="43" t="s">
        <v>3</v>
      </c>
      <c r="O20" s="34">
        <f>SUM(O13:O19)</f>
        <v>778</v>
      </c>
    </row>
    <row r="21" spans="1:15" ht="15.6" customHeight="1" thickBot="1">
      <c r="A21" s="7"/>
      <c r="B21" s="60" t="s">
        <v>108</v>
      </c>
      <c r="C21" s="58" t="s">
        <v>1</v>
      </c>
      <c r="D21" s="61" t="s">
        <v>117</v>
      </c>
      <c r="E21" s="58" t="s">
        <v>1</v>
      </c>
      <c r="F21" s="61" t="s">
        <v>118</v>
      </c>
      <c r="G21" s="58" t="s">
        <v>1</v>
      </c>
      <c r="H21" s="61" t="s">
        <v>119</v>
      </c>
      <c r="I21" s="58" t="s">
        <v>1</v>
      </c>
      <c r="J21" s="61" t="s">
        <v>120</v>
      </c>
      <c r="K21" s="58" t="s">
        <v>1</v>
      </c>
      <c r="L21" s="61" t="s">
        <v>121</v>
      </c>
      <c r="M21" s="58" t="s">
        <v>1</v>
      </c>
      <c r="N21" s="61" t="s">
        <v>122</v>
      </c>
      <c r="O21" s="58" t="s">
        <v>1</v>
      </c>
    </row>
    <row r="22" spans="1:15" ht="15.6" customHeight="1">
      <c r="A22" s="7"/>
      <c r="B22" s="66" t="s">
        <v>19</v>
      </c>
      <c r="C22" s="127">
        <v>120</v>
      </c>
      <c r="D22" s="28" t="s">
        <v>19</v>
      </c>
      <c r="E22" s="127">
        <v>120</v>
      </c>
      <c r="F22" s="28" t="s">
        <v>19</v>
      </c>
      <c r="G22" s="127">
        <v>120</v>
      </c>
      <c r="H22" s="28" t="s">
        <v>19</v>
      </c>
      <c r="I22" s="127">
        <v>120</v>
      </c>
      <c r="J22" s="28" t="s">
        <v>19</v>
      </c>
      <c r="K22" s="127">
        <v>120</v>
      </c>
      <c r="L22" s="28" t="s">
        <v>19</v>
      </c>
      <c r="M22" s="127">
        <v>120</v>
      </c>
      <c r="N22" s="56" t="s">
        <v>19</v>
      </c>
      <c r="O22" s="127">
        <v>120</v>
      </c>
    </row>
    <row r="23" spans="1:15" ht="15.6" customHeight="1">
      <c r="A23" s="7"/>
      <c r="B23" s="88" t="s">
        <v>20</v>
      </c>
      <c r="C23" s="86">
        <v>40</v>
      </c>
      <c r="D23" s="172" t="s">
        <v>20</v>
      </c>
      <c r="E23" s="86">
        <v>40</v>
      </c>
      <c r="F23" s="172" t="s">
        <v>20</v>
      </c>
      <c r="G23" s="86">
        <v>40</v>
      </c>
      <c r="H23" s="172" t="s">
        <v>20</v>
      </c>
      <c r="I23" s="86">
        <v>40</v>
      </c>
      <c r="J23" s="172" t="s">
        <v>20</v>
      </c>
      <c r="K23" s="86">
        <v>40</v>
      </c>
      <c r="L23" s="172" t="s">
        <v>20</v>
      </c>
      <c r="M23" s="86">
        <v>40</v>
      </c>
      <c r="N23" s="155" t="s">
        <v>20</v>
      </c>
      <c r="O23" s="86">
        <v>40</v>
      </c>
    </row>
    <row r="24" spans="1:15" ht="15.6" customHeight="1">
      <c r="A24" s="7"/>
      <c r="B24" s="88" t="s">
        <v>21</v>
      </c>
      <c r="C24" s="86">
        <v>8</v>
      </c>
      <c r="D24" s="172" t="s">
        <v>21</v>
      </c>
      <c r="E24" s="86">
        <v>8</v>
      </c>
      <c r="F24" s="172" t="s">
        <v>21</v>
      </c>
      <c r="G24" s="86">
        <v>8</v>
      </c>
      <c r="H24" s="172" t="s">
        <v>21</v>
      </c>
      <c r="I24" s="86">
        <v>8</v>
      </c>
      <c r="J24" s="172" t="s">
        <v>21</v>
      </c>
      <c r="K24" s="86">
        <v>8</v>
      </c>
      <c r="L24" s="172" t="s">
        <v>21</v>
      </c>
      <c r="M24" s="86">
        <v>8</v>
      </c>
      <c r="N24" s="155" t="s">
        <v>21</v>
      </c>
      <c r="O24" s="86">
        <v>8</v>
      </c>
    </row>
    <row r="25" spans="1:15" ht="15.6" customHeight="1">
      <c r="A25" s="7"/>
      <c r="B25" s="156" t="s">
        <v>68</v>
      </c>
      <c r="C25" s="86">
        <v>140</v>
      </c>
      <c r="D25" s="156" t="s">
        <v>77</v>
      </c>
      <c r="E25" s="157">
        <v>120</v>
      </c>
      <c r="F25" s="155" t="s">
        <v>73</v>
      </c>
      <c r="G25" s="86">
        <v>275</v>
      </c>
      <c r="H25" s="155" t="s">
        <v>205</v>
      </c>
      <c r="I25" s="86">
        <v>328</v>
      </c>
      <c r="J25" s="163" t="s">
        <v>71</v>
      </c>
      <c r="K25" s="157">
        <v>215</v>
      </c>
      <c r="L25" s="163" t="s">
        <v>184</v>
      </c>
      <c r="M25" s="157">
        <v>50</v>
      </c>
      <c r="N25" s="163" t="s">
        <v>68</v>
      </c>
      <c r="O25" s="86">
        <v>140</v>
      </c>
    </row>
    <row r="26" spans="1:15" ht="15.6" customHeight="1">
      <c r="A26" s="7"/>
      <c r="B26" s="168" t="s">
        <v>203</v>
      </c>
      <c r="C26" s="86">
        <v>58</v>
      </c>
      <c r="D26" s="155" t="s">
        <v>58</v>
      </c>
      <c r="E26" s="86">
        <v>147</v>
      </c>
      <c r="F26" s="161" t="s">
        <v>69</v>
      </c>
      <c r="G26" s="86">
        <v>109</v>
      </c>
      <c r="H26" s="159" t="s">
        <v>185</v>
      </c>
      <c r="I26" s="86">
        <v>117</v>
      </c>
      <c r="J26" s="166" t="s">
        <v>75</v>
      </c>
      <c r="K26" s="86">
        <v>76</v>
      </c>
      <c r="L26" s="166" t="s">
        <v>181</v>
      </c>
      <c r="M26" s="86">
        <v>60</v>
      </c>
      <c r="N26" s="163" t="s">
        <v>58</v>
      </c>
      <c r="O26" s="86">
        <v>147</v>
      </c>
    </row>
    <row r="27" spans="1:15" ht="15.6" customHeight="1">
      <c r="A27" s="8"/>
      <c r="B27" s="165" t="s">
        <v>76</v>
      </c>
      <c r="C27" s="86">
        <v>243</v>
      </c>
      <c r="D27" s="161" t="s">
        <v>72</v>
      </c>
      <c r="E27" s="169">
        <v>78</v>
      </c>
      <c r="F27" s="161" t="s">
        <v>204</v>
      </c>
      <c r="G27" s="86">
        <v>113</v>
      </c>
      <c r="H27" s="207" t="s">
        <v>180</v>
      </c>
      <c r="I27" s="89">
        <v>115</v>
      </c>
      <c r="J27" s="166" t="s">
        <v>73</v>
      </c>
      <c r="K27" s="86">
        <v>275</v>
      </c>
      <c r="L27" s="166" t="s">
        <v>29</v>
      </c>
      <c r="M27" s="86">
        <v>358</v>
      </c>
      <c r="N27" s="168" t="s">
        <v>74</v>
      </c>
      <c r="O27" s="177">
        <v>242</v>
      </c>
    </row>
    <row r="28" spans="1:15" ht="15.6" customHeight="1" thickBot="1">
      <c r="A28" s="9"/>
      <c r="B28" s="208" t="s">
        <v>78</v>
      </c>
      <c r="C28" s="174">
        <v>183</v>
      </c>
      <c r="D28" s="204" t="s">
        <v>183</v>
      </c>
      <c r="E28" s="205">
        <v>312</v>
      </c>
      <c r="F28" s="162" t="s">
        <v>26</v>
      </c>
      <c r="G28" s="169">
        <v>90</v>
      </c>
      <c r="H28" s="167" t="s">
        <v>72</v>
      </c>
      <c r="I28" s="169">
        <v>78</v>
      </c>
      <c r="J28" s="206" t="s">
        <v>188</v>
      </c>
      <c r="K28" s="169">
        <v>238</v>
      </c>
      <c r="L28" s="206" t="s">
        <v>72</v>
      </c>
      <c r="M28" s="169">
        <v>78</v>
      </c>
      <c r="N28" s="183" t="s">
        <v>103</v>
      </c>
      <c r="O28" s="169">
        <v>82</v>
      </c>
    </row>
    <row r="29" spans="1:15" ht="16.350000000000001" customHeight="1" thickBot="1">
      <c r="A29" s="10"/>
      <c r="B29" s="44" t="s">
        <v>3</v>
      </c>
      <c r="C29" s="32">
        <f>SUM(C22:C28)</f>
        <v>792</v>
      </c>
      <c r="D29" s="45" t="s">
        <v>3</v>
      </c>
      <c r="E29" s="32">
        <f>SUM(E22:E28)</f>
        <v>825</v>
      </c>
      <c r="F29" s="45" t="s">
        <v>3</v>
      </c>
      <c r="G29" s="32">
        <f>SUM(G22:G28)</f>
        <v>755</v>
      </c>
      <c r="H29" s="45" t="s">
        <v>3</v>
      </c>
      <c r="I29" s="32">
        <f>SUM(I22:I28)</f>
        <v>806</v>
      </c>
      <c r="J29" s="45" t="s">
        <v>3</v>
      </c>
      <c r="K29" s="32">
        <f>SUM(K22:K28)</f>
        <v>972</v>
      </c>
      <c r="L29" s="45" t="s">
        <v>3</v>
      </c>
      <c r="M29" s="32">
        <f>SUM(M22:M28)</f>
        <v>714</v>
      </c>
      <c r="N29" s="45" t="s">
        <v>3</v>
      </c>
      <c r="O29" s="32">
        <f>SUM(O22:O28)</f>
        <v>779</v>
      </c>
    </row>
    <row r="30" spans="1:15" ht="15.6" customHeight="1" thickBot="1">
      <c r="A30" s="7"/>
      <c r="B30" s="60" t="s">
        <v>109</v>
      </c>
      <c r="C30" s="58" t="s">
        <v>1</v>
      </c>
      <c r="D30" s="181" t="s">
        <v>159</v>
      </c>
      <c r="E30" s="58" t="s">
        <v>1</v>
      </c>
      <c r="F30" s="61" t="s">
        <v>160</v>
      </c>
      <c r="G30" s="58" t="s">
        <v>1</v>
      </c>
      <c r="H30" s="22" t="s">
        <v>161</v>
      </c>
      <c r="I30" s="58" t="s">
        <v>1</v>
      </c>
      <c r="J30" s="61" t="s">
        <v>162</v>
      </c>
      <c r="K30" s="58" t="s">
        <v>1</v>
      </c>
      <c r="L30" s="61" t="s">
        <v>163</v>
      </c>
      <c r="M30" s="58" t="s">
        <v>1</v>
      </c>
      <c r="N30" s="61" t="s">
        <v>164</v>
      </c>
      <c r="O30" s="58" t="s">
        <v>1</v>
      </c>
    </row>
    <row r="31" spans="1:15" ht="15.6" customHeight="1">
      <c r="A31" s="7"/>
      <c r="B31" s="66" t="s">
        <v>19</v>
      </c>
      <c r="C31" s="127">
        <v>120</v>
      </c>
      <c r="D31" s="28" t="s">
        <v>79</v>
      </c>
      <c r="E31" s="118">
        <v>120</v>
      </c>
      <c r="F31" s="56" t="s">
        <v>19</v>
      </c>
      <c r="G31" s="127">
        <v>120</v>
      </c>
      <c r="H31" s="46" t="s">
        <v>79</v>
      </c>
      <c r="I31" s="118">
        <v>120</v>
      </c>
      <c r="J31" s="56" t="s">
        <v>19</v>
      </c>
      <c r="K31" s="127">
        <v>120</v>
      </c>
      <c r="L31" s="28" t="s">
        <v>79</v>
      </c>
      <c r="M31" s="127">
        <v>120</v>
      </c>
      <c r="N31" s="28" t="s">
        <v>19</v>
      </c>
      <c r="O31" s="127">
        <v>120</v>
      </c>
    </row>
    <row r="32" spans="1:15" ht="15.6" customHeight="1">
      <c r="A32" s="7"/>
      <c r="B32" s="88" t="s">
        <v>20</v>
      </c>
      <c r="C32" s="86">
        <v>40</v>
      </c>
      <c r="D32" s="172" t="s">
        <v>20</v>
      </c>
      <c r="E32" s="86">
        <v>40</v>
      </c>
      <c r="F32" s="155" t="s">
        <v>20</v>
      </c>
      <c r="G32" s="86">
        <v>40</v>
      </c>
      <c r="H32" s="173" t="s">
        <v>20</v>
      </c>
      <c r="I32" s="89">
        <v>40</v>
      </c>
      <c r="J32" s="155" t="s">
        <v>20</v>
      </c>
      <c r="K32" s="86">
        <v>40</v>
      </c>
      <c r="L32" s="172" t="s">
        <v>20</v>
      </c>
      <c r="M32" s="86">
        <v>40</v>
      </c>
      <c r="N32" s="172" t="s">
        <v>20</v>
      </c>
      <c r="O32" s="86">
        <v>40</v>
      </c>
    </row>
    <row r="33" spans="1:15" ht="15.6" customHeight="1">
      <c r="A33" s="7"/>
      <c r="B33" s="88" t="s">
        <v>21</v>
      </c>
      <c r="C33" s="86">
        <v>8</v>
      </c>
      <c r="D33" s="172" t="s">
        <v>21</v>
      </c>
      <c r="E33" s="86">
        <v>8</v>
      </c>
      <c r="F33" s="155" t="s">
        <v>21</v>
      </c>
      <c r="G33" s="86">
        <v>8</v>
      </c>
      <c r="H33" s="173" t="s">
        <v>21</v>
      </c>
      <c r="I33" s="89">
        <v>8</v>
      </c>
      <c r="J33" s="155" t="s">
        <v>21</v>
      </c>
      <c r="K33" s="86">
        <v>8</v>
      </c>
      <c r="L33" s="172" t="s">
        <v>21</v>
      </c>
      <c r="M33" s="86">
        <v>8</v>
      </c>
      <c r="N33" s="172" t="s">
        <v>21</v>
      </c>
      <c r="O33" s="86">
        <v>8</v>
      </c>
    </row>
    <row r="34" spans="1:15" ht="15.6" customHeight="1">
      <c r="A34" s="7"/>
      <c r="B34" s="170" t="s">
        <v>187</v>
      </c>
      <c r="C34" s="89">
        <v>311</v>
      </c>
      <c r="D34" s="171" t="s">
        <v>204</v>
      </c>
      <c r="E34" s="89">
        <v>113</v>
      </c>
      <c r="F34" s="172" t="s">
        <v>180</v>
      </c>
      <c r="G34" s="89">
        <v>115</v>
      </c>
      <c r="H34" s="172" t="s">
        <v>68</v>
      </c>
      <c r="I34" s="89">
        <v>140</v>
      </c>
      <c r="J34" s="172" t="s">
        <v>71</v>
      </c>
      <c r="K34" s="89">
        <v>215</v>
      </c>
      <c r="L34" s="175" t="s">
        <v>184</v>
      </c>
      <c r="M34" s="177">
        <v>50</v>
      </c>
      <c r="N34" s="172" t="s">
        <v>69</v>
      </c>
      <c r="O34" s="198">
        <v>109</v>
      </c>
    </row>
    <row r="35" spans="1:15" ht="15.6" customHeight="1">
      <c r="A35" s="7"/>
      <c r="B35" s="209" t="s">
        <v>77</v>
      </c>
      <c r="C35" s="210">
        <v>120</v>
      </c>
      <c r="D35" s="172" t="s">
        <v>185</v>
      </c>
      <c r="E35" s="210">
        <v>117</v>
      </c>
      <c r="F35" s="172" t="s">
        <v>72</v>
      </c>
      <c r="G35" s="210">
        <v>78</v>
      </c>
      <c r="H35" s="172" t="s">
        <v>58</v>
      </c>
      <c r="I35" s="210">
        <v>147</v>
      </c>
      <c r="J35" s="172" t="s">
        <v>75</v>
      </c>
      <c r="K35" s="210">
        <v>76</v>
      </c>
      <c r="L35" s="211" t="s">
        <v>202</v>
      </c>
      <c r="M35" s="157">
        <v>63</v>
      </c>
      <c r="N35" s="155" t="s">
        <v>204</v>
      </c>
      <c r="O35" s="212">
        <v>113</v>
      </c>
    </row>
    <row r="36" spans="1:15" ht="15.6" customHeight="1">
      <c r="A36" s="8"/>
      <c r="B36" s="209" t="s">
        <v>75</v>
      </c>
      <c r="C36" s="210">
        <v>76</v>
      </c>
      <c r="D36" s="172" t="s">
        <v>186</v>
      </c>
      <c r="E36" s="210">
        <v>381</v>
      </c>
      <c r="F36" s="172" t="s">
        <v>70</v>
      </c>
      <c r="G36" s="210">
        <v>55</v>
      </c>
      <c r="H36" s="213" t="s">
        <v>103</v>
      </c>
      <c r="I36" s="210">
        <v>82</v>
      </c>
      <c r="J36" s="172" t="s">
        <v>29</v>
      </c>
      <c r="K36" s="210">
        <v>358</v>
      </c>
      <c r="L36" s="214" t="s">
        <v>182</v>
      </c>
      <c r="M36" s="212">
        <v>205</v>
      </c>
      <c r="N36" s="159" t="s">
        <v>72</v>
      </c>
      <c r="O36" s="212">
        <v>78</v>
      </c>
    </row>
    <row r="37" spans="1:15" ht="15.6" customHeight="1" thickBot="1">
      <c r="A37" s="9"/>
      <c r="B37" s="215" t="s">
        <v>72</v>
      </c>
      <c r="C37" s="216">
        <v>78</v>
      </c>
      <c r="D37" s="185" t="s">
        <v>26</v>
      </c>
      <c r="E37" s="216">
        <v>90</v>
      </c>
      <c r="F37" s="185" t="s">
        <v>190</v>
      </c>
      <c r="G37" s="216">
        <v>322</v>
      </c>
      <c r="H37" s="185" t="s">
        <v>78</v>
      </c>
      <c r="I37" s="216">
        <v>183</v>
      </c>
      <c r="J37" s="185" t="s">
        <v>74</v>
      </c>
      <c r="K37" s="216">
        <v>242</v>
      </c>
      <c r="L37" s="217" t="s">
        <v>73</v>
      </c>
      <c r="M37" s="218">
        <v>275</v>
      </c>
      <c r="N37" s="161" t="s">
        <v>183</v>
      </c>
      <c r="O37" s="218">
        <v>312</v>
      </c>
    </row>
    <row r="38" spans="1:15" ht="15.75" customHeight="1" thickBot="1">
      <c r="A38" s="10"/>
      <c r="B38" s="33" t="s">
        <v>3</v>
      </c>
      <c r="C38" s="47">
        <f>SUM(C31:C37)</f>
        <v>753</v>
      </c>
      <c r="D38" s="43" t="s">
        <v>3</v>
      </c>
      <c r="E38" s="34">
        <f>SUM(E31:E37)</f>
        <v>869</v>
      </c>
      <c r="F38" s="35" t="s">
        <v>3</v>
      </c>
      <c r="G38" s="34">
        <f>SUM(G31:G37)</f>
        <v>738</v>
      </c>
      <c r="H38" s="43" t="s">
        <v>3</v>
      </c>
      <c r="I38" s="34">
        <f>SUM(I31:I37)</f>
        <v>720</v>
      </c>
      <c r="J38" s="43" t="s">
        <v>3</v>
      </c>
      <c r="K38" s="34">
        <f>SUM(K31:K37)</f>
        <v>1059</v>
      </c>
      <c r="L38" s="35" t="s">
        <v>3</v>
      </c>
      <c r="M38" s="34">
        <f>SUM(M31:M37)</f>
        <v>761</v>
      </c>
      <c r="N38" s="43" t="s">
        <v>3</v>
      </c>
      <c r="O38" s="34">
        <f>SUM(O31:O37)</f>
        <v>780</v>
      </c>
    </row>
    <row r="39" spans="1:15" ht="16.5" customHeight="1" thickBot="1">
      <c r="A39" s="7"/>
      <c r="B39" s="57" t="s">
        <v>110</v>
      </c>
      <c r="C39" s="48" t="s">
        <v>1</v>
      </c>
      <c r="D39" s="49" t="s">
        <v>123</v>
      </c>
      <c r="E39" s="62" t="s">
        <v>1</v>
      </c>
      <c r="F39" s="180" t="s">
        <v>124</v>
      </c>
      <c r="G39" s="62" t="s">
        <v>1</v>
      </c>
      <c r="H39" s="180" t="s">
        <v>125</v>
      </c>
      <c r="I39" s="62" t="s">
        <v>1</v>
      </c>
      <c r="J39" s="180" t="s">
        <v>126</v>
      </c>
      <c r="K39" s="62" t="s">
        <v>1</v>
      </c>
      <c r="L39" s="180" t="s">
        <v>127</v>
      </c>
      <c r="M39" s="62" t="s">
        <v>1</v>
      </c>
      <c r="N39" s="59" t="s">
        <v>128</v>
      </c>
      <c r="O39" s="62" t="s">
        <v>1</v>
      </c>
    </row>
    <row r="40" spans="1:15" ht="14.25" customHeight="1">
      <c r="A40" s="7"/>
      <c r="B40" s="66" t="s">
        <v>19</v>
      </c>
      <c r="C40" s="41">
        <v>120</v>
      </c>
      <c r="D40" s="28" t="s">
        <v>19</v>
      </c>
      <c r="E40" s="41">
        <v>120</v>
      </c>
      <c r="F40" s="28" t="s">
        <v>19</v>
      </c>
      <c r="G40" s="41">
        <v>120</v>
      </c>
      <c r="H40" s="28" t="s">
        <v>19</v>
      </c>
      <c r="I40" s="41">
        <v>120</v>
      </c>
      <c r="J40" s="28" t="s">
        <v>19</v>
      </c>
      <c r="K40" s="41">
        <v>120</v>
      </c>
      <c r="L40" s="28" t="s">
        <v>19</v>
      </c>
      <c r="M40" s="41">
        <v>120</v>
      </c>
      <c r="N40" s="28" t="s">
        <v>19</v>
      </c>
      <c r="O40" s="41">
        <v>120</v>
      </c>
    </row>
    <row r="41" spans="1:15" ht="15.6" customHeight="1">
      <c r="A41" s="7"/>
      <c r="B41" s="88" t="s">
        <v>20</v>
      </c>
      <c r="C41" s="89">
        <v>40</v>
      </c>
      <c r="D41" s="172" t="s">
        <v>20</v>
      </c>
      <c r="E41" s="89">
        <v>40</v>
      </c>
      <c r="F41" s="172" t="s">
        <v>20</v>
      </c>
      <c r="G41" s="89">
        <v>40</v>
      </c>
      <c r="H41" s="172" t="s">
        <v>20</v>
      </c>
      <c r="I41" s="89">
        <v>40</v>
      </c>
      <c r="J41" s="172" t="s">
        <v>20</v>
      </c>
      <c r="K41" s="89">
        <v>40</v>
      </c>
      <c r="L41" s="172" t="s">
        <v>20</v>
      </c>
      <c r="M41" s="89">
        <v>40</v>
      </c>
      <c r="N41" s="172" t="s">
        <v>20</v>
      </c>
      <c r="O41" s="89">
        <v>40</v>
      </c>
    </row>
    <row r="42" spans="1:15" ht="15.6" customHeight="1">
      <c r="A42" s="7"/>
      <c r="B42" s="88" t="s">
        <v>21</v>
      </c>
      <c r="C42" s="89">
        <v>8</v>
      </c>
      <c r="D42" s="172" t="s">
        <v>21</v>
      </c>
      <c r="E42" s="89">
        <v>8</v>
      </c>
      <c r="F42" s="172" t="s">
        <v>21</v>
      </c>
      <c r="G42" s="89">
        <v>8</v>
      </c>
      <c r="H42" s="172" t="s">
        <v>21</v>
      </c>
      <c r="I42" s="89">
        <v>8</v>
      </c>
      <c r="J42" s="172" t="s">
        <v>21</v>
      </c>
      <c r="K42" s="89">
        <v>8</v>
      </c>
      <c r="L42" s="172" t="s">
        <v>21</v>
      </c>
      <c r="M42" s="89">
        <v>8</v>
      </c>
      <c r="N42" s="172" t="s">
        <v>21</v>
      </c>
      <c r="O42" s="89">
        <v>8</v>
      </c>
    </row>
    <row r="43" spans="1:15" ht="15.6" customHeight="1">
      <c r="A43" s="7"/>
      <c r="B43" s="163" t="s">
        <v>58</v>
      </c>
      <c r="C43" s="86">
        <v>147</v>
      </c>
      <c r="D43" s="172" t="s">
        <v>71</v>
      </c>
      <c r="E43" s="86">
        <v>215</v>
      </c>
      <c r="F43" s="164" t="s">
        <v>204</v>
      </c>
      <c r="G43" s="86">
        <v>113</v>
      </c>
      <c r="H43" s="155" t="s">
        <v>180</v>
      </c>
      <c r="I43" s="86">
        <v>115</v>
      </c>
      <c r="J43" s="155" t="s">
        <v>77</v>
      </c>
      <c r="K43" s="86">
        <v>120</v>
      </c>
      <c r="L43" s="184" t="s">
        <v>68</v>
      </c>
      <c r="M43" s="219">
        <v>140</v>
      </c>
      <c r="N43" s="171" t="s">
        <v>180</v>
      </c>
      <c r="O43" s="86">
        <v>115</v>
      </c>
    </row>
    <row r="44" spans="1:15" ht="15.6" customHeight="1">
      <c r="A44" s="7"/>
      <c r="B44" s="220" t="s">
        <v>67</v>
      </c>
      <c r="C44" s="221">
        <v>65</v>
      </c>
      <c r="D44" s="222" t="s">
        <v>75</v>
      </c>
      <c r="E44" s="86">
        <v>76</v>
      </c>
      <c r="F44" s="223" t="s">
        <v>203</v>
      </c>
      <c r="G44" s="86">
        <v>58</v>
      </c>
      <c r="H44" s="220" t="s">
        <v>73</v>
      </c>
      <c r="I44" s="86">
        <v>275</v>
      </c>
      <c r="J44" s="159" t="s">
        <v>185</v>
      </c>
      <c r="K44" s="86">
        <v>117</v>
      </c>
      <c r="L44" s="220" t="s">
        <v>69</v>
      </c>
      <c r="M44" s="86">
        <v>109</v>
      </c>
      <c r="N44" s="172" t="s">
        <v>181</v>
      </c>
      <c r="O44" s="86">
        <v>60</v>
      </c>
    </row>
    <row r="45" spans="1:15" ht="15" customHeight="1">
      <c r="A45" s="8"/>
      <c r="B45" s="220" t="s">
        <v>76</v>
      </c>
      <c r="C45" s="86">
        <v>243</v>
      </c>
      <c r="D45" s="224" t="s">
        <v>189</v>
      </c>
      <c r="E45" s="86">
        <v>311</v>
      </c>
      <c r="F45" s="225" t="s">
        <v>103</v>
      </c>
      <c r="G45" s="218">
        <v>82</v>
      </c>
      <c r="H45" s="155" t="s">
        <v>75</v>
      </c>
      <c r="I45" s="86">
        <v>76</v>
      </c>
      <c r="J45" s="225" t="s">
        <v>72</v>
      </c>
      <c r="K45" s="218">
        <v>78</v>
      </c>
      <c r="L45" s="223" t="s">
        <v>29</v>
      </c>
      <c r="M45" s="86">
        <v>358</v>
      </c>
      <c r="N45" s="24" t="s">
        <v>183</v>
      </c>
      <c r="O45" s="89">
        <v>312</v>
      </c>
    </row>
    <row r="46" spans="1:15" ht="15" customHeight="1" thickBot="1">
      <c r="A46" s="9"/>
      <c r="B46" s="226" t="s">
        <v>188</v>
      </c>
      <c r="C46" s="218">
        <v>238</v>
      </c>
      <c r="D46" s="225" t="s">
        <v>72</v>
      </c>
      <c r="E46" s="218">
        <v>78</v>
      </c>
      <c r="F46" s="227" t="s">
        <v>74</v>
      </c>
      <c r="G46" s="218">
        <v>242</v>
      </c>
      <c r="H46" s="228" t="s">
        <v>26</v>
      </c>
      <c r="I46" s="229">
        <v>90</v>
      </c>
      <c r="J46" s="230" t="s">
        <v>206</v>
      </c>
      <c r="K46" s="86">
        <v>324</v>
      </c>
      <c r="L46" s="162" t="s">
        <v>78</v>
      </c>
      <c r="M46" s="218">
        <v>183</v>
      </c>
      <c r="N46" s="225" t="s">
        <v>72</v>
      </c>
      <c r="O46" s="87">
        <v>78</v>
      </c>
    </row>
    <row r="47" spans="1:15" ht="15" customHeight="1" thickBot="1">
      <c r="A47" s="9"/>
      <c r="B47" s="33" t="s">
        <v>3</v>
      </c>
      <c r="C47" s="34">
        <f>SUM(C40:C46)</f>
        <v>861</v>
      </c>
      <c r="D47" s="35" t="s">
        <v>3</v>
      </c>
      <c r="E47" s="34">
        <f>SUM(E40:E46)</f>
        <v>848</v>
      </c>
      <c r="F47" s="35" t="s">
        <v>3</v>
      </c>
      <c r="G47" s="34">
        <f>SUM(G40:G46)</f>
        <v>663</v>
      </c>
      <c r="H47" s="35" t="s">
        <v>3</v>
      </c>
      <c r="I47" s="34">
        <f>SUM(I40:I46)</f>
        <v>724</v>
      </c>
      <c r="J47" s="35" t="s">
        <v>3</v>
      </c>
      <c r="K47" s="34">
        <f>SUM(K40:K46)</f>
        <v>807</v>
      </c>
      <c r="L47" s="35" t="s">
        <v>3</v>
      </c>
      <c r="M47" s="34">
        <f>SUM(M40:M46)</f>
        <v>958</v>
      </c>
      <c r="N47" s="35" t="s">
        <v>3</v>
      </c>
      <c r="O47" s="34">
        <f>SUM(O40:O46)</f>
        <v>733</v>
      </c>
    </row>
    <row r="48" spans="1:15" ht="15" customHeight="1">
      <c r="A48" s="9"/>
      <c r="B48" s="73"/>
      <c r="C48" s="68"/>
      <c r="D48" s="67"/>
      <c r="E48" s="69"/>
      <c r="F48" s="67"/>
      <c r="G48" s="69"/>
      <c r="H48" s="67"/>
      <c r="I48" s="69"/>
      <c r="J48" s="67"/>
      <c r="K48" s="69"/>
      <c r="L48" s="67"/>
      <c r="M48" s="69"/>
      <c r="N48" s="67"/>
      <c r="O48" s="25"/>
    </row>
    <row r="49" spans="1:15" ht="15" customHeight="1">
      <c r="A49" s="9"/>
      <c r="B49" s="74"/>
      <c r="C49" s="71"/>
      <c r="D49" s="70"/>
      <c r="E49" s="71"/>
      <c r="F49" s="70"/>
      <c r="G49" s="71"/>
      <c r="H49" s="70"/>
      <c r="I49" s="71"/>
      <c r="J49" s="70"/>
      <c r="K49" s="71"/>
      <c r="L49" s="70"/>
      <c r="M49" s="71"/>
      <c r="N49" s="70"/>
      <c r="O49" s="26"/>
    </row>
    <row r="50" spans="1:15" ht="15" customHeight="1">
      <c r="A50" s="9"/>
      <c r="B50" s="74"/>
      <c r="C50" s="71"/>
      <c r="D50" s="70"/>
      <c r="E50" s="71"/>
      <c r="F50" s="70"/>
      <c r="G50" s="71"/>
      <c r="H50" s="70"/>
      <c r="I50" s="71"/>
      <c r="J50" s="70"/>
      <c r="K50" s="71"/>
      <c r="L50" s="70"/>
      <c r="M50" s="71"/>
      <c r="N50" s="70"/>
      <c r="O50" s="26"/>
    </row>
    <row r="51" spans="1:15" ht="15" customHeight="1">
      <c r="A51" s="9"/>
      <c r="B51" s="74"/>
      <c r="C51" s="71"/>
      <c r="D51" s="70"/>
      <c r="E51" s="71"/>
      <c r="F51" s="70"/>
      <c r="G51" s="71"/>
      <c r="H51" s="70"/>
      <c r="I51" s="71"/>
      <c r="J51" s="70"/>
      <c r="K51" s="71"/>
      <c r="L51" s="70"/>
      <c r="M51" s="71"/>
      <c r="N51" s="70"/>
      <c r="O51" s="26"/>
    </row>
    <row r="52" spans="1:15" ht="15" customHeight="1">
      <c r="A52" s="9"/>
      <c r="B52" s="75"/>
      <c r="C52" s="71"/>
      <c r="D52" s="72"/>
      <c r="E52" s="71"/>
      <c r="F52" s="70"/>
      <c r="G52" s="71"/>
      <c r="H52" s="70"/>
      <c r="I52" s="71"/>
      <c r="J52" s="70"/>
      <c r="K52" s="71"/>
      <c r="L52" s="70"/>
      <c r="M52" s="71"/>
      <c r="N52" s="70"/>
      <c r="O52" s="26"/>
    </row>
    <row r="53" spans="1:15" ht="15" customHeight="1">
      <c r="A53" s="9"/>
      <c r="B53" s="74"/>
      <c r="C53" s="71"/>
      <c r="D53" s="70"/>
      <c r="E53" s="71"/>
      <c r="F53" s="70"/>
      <c r="G53" s="71"/>
      <c r="H53" s="70"/>
      <c r="I53" s="71"/>
      <c r="J53" s="70"/>
      <c r="K53" s="71"/>
      <c r="L53" s="70"/>
      <c r="M53" s="71"/>
      <c r="N53" s="70"/>
      <c r="O53" s="26"/>
    </row>
    <row r="54" spans="1:15" ht="15" customHeight="1">
      <c r="A54" s="9"/>
      <c r="B54" s="74"/>
      <c r="C54" s="71"/>
      <c r="D54" s="70"/>
      <c r="E54" s="71"/>
      <c r="F54" s="70"/>
      <c r="G54" s="71"/>
      <c r="H54" s="31"/>
      <c r="I54" s="71"/>
      <c r="J54" s="70"/>
      <c r="K54" s="71"/>
      <c r="L54" s="31"/>
      <c r="M54" s="71"/>
      <c r="N54" s="70"/>
      <c r="O54" s="26"/>
    </row>
    <row r="55" spans="1:15" ht="15.75" customHeight="1">
      <c r="A55" s="10"/>
      <c r="B55" s="74"/>
      <c r="C55" s="71"/>
      <c r="D55" s="70"/>
      <c r="E55" s="71"/>
      <c r="F55" s="70"/>
      <c r="G55" s="71"/>
      <c r="H55" s="70"/>
      <c r="I55" s="71"/>
      <c r="J55" s="70"/>
      <c r="K55" s="71"/>
      <c r="L55" s="70"/>
      <c r="M55" s="71"/>
      <c r="N55" s="70"/>
      <c r="O55" s="26"/>
    </row>
    <row r="56" spans="1:15" ht="14.25" customHeight="1">
      <c r="A56" s="7"/>
      <c r="B56" s="81"/>
      <c r="C56" s="80"/>
      <c r="D56" s="79"/>
      <c r="E56" s="80"/>
      <c r="F56" s="79"/>
      <c r="G56" s="80"/>
      <c r="H56" s="79"/>
      <c r="I56" s="80"/>
      <c r="J56" s="79"/>
      <c r="K56" s="80"/>
      <c r="L56" s="79"/>
      <c r="M56" s="80"/>
      <c r="N56" s="79"/>
      <c r="O56" s="27"/>
    </row>
    <row r="57" spans="1:15" ht="27" customHeight="1" thickBot="1">
      <c r="A57" s="37"/>
      <c r="B57" s="81"/>
      <c r="C57" s="80"/>
      <c r="D57" s="79"/>
      <c r="E57" s="80"/>
      <c r="F57" s="79"/>
      <c r="G57" s="80"/>
      <c r="H57" s="79"/>
      <c r="I57" s="80"/>
      <c r="J57" s="79"/>
      <c r="K57" s="80"/>
      <c r="L57" s="79"/>
      <c r="M57" s="80"/>
      <c r="N57" s="79"/>
      <c r="O57" s="27"/>
    </row>
    <row r="58" spans="1:15" ht="24" customHeight="1" thickBot="1">
      <c r="A58" s="37"/>
      <c r="B58" s="326" t="s">
        <v>22</v>
      </c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3"/>
    </row>
    <row r="59" spans="1:15" ht="12.75" customHeight="1">
      <c r="A59" s="37"/>
      <c r="B59" s="141" t="s">
        <v>33</v>
      </c>
      <c r="C59" s="142"/>
      <c r="D59" s="143"/>
      <c r="E59" s="142"/>
      <c r="F59" s="143"/>
      <c r="G59" s="142"/>
      <c r="H59" s="143" t="s">
        <v>34</v>
      </c>
      <c r="I59" s="142"/>
      <c r="J59" s="143"/>
      <c r="K59" s="142"/>
      <c r="L59" s="143" t="s">
        <v>35</v>
      </c>
      <c r="M59" s="142"/>
      <c r="N59" s="143"/>
      <c r="O59" s="144"/>
    </row>
    <row r="60" spans="1:15" ht="15.6" customHeight="1">
      <c r="A60" s="7"/>
      <c r="B60" s="119" t="s">
        <v>7</v>
      </c>
      <c r="C60" s="120"/>
      <c r="D60" s="121"/>
      <c r="E60" s="120"/>
      <c r="F60" s="122"/>
      <c r="G60" s="120"/>
      <c r="H60" s="123" t="s">
        <v>8</v>
      </c>
      <c r="I60" s="120"/>
      <c r="J60" s="124"/>
      <c r="K60" s="120"/>
      <c r="L60" s="123" t="s">
        <v>9</v>
      </c>
      <c r="M60" s="120"/>
      <c r="N60" s="124"/>
      <c r="O60" s="125"/>
    </row>
    <row r="61" spans="1:15" ht="15" customHeight="1">
      <c r="A61" s="7"/>
      <c r="B61" s="119" t="s">
        <v>10</v>
      </c>
      <c r="C61" s="120"/>
      <c r="D61" s="124"/>
      <c r="E61" s="120"/>
      <c r="F61" s="122"/>
      <c r="G61" s="120"/>
      <c r="H61" s="123" t="s">
        <v>11</v>
      </c>
      <c r="I61" s="120"/>
      <c r="J61" s="124"/>
      <c r="K61" s="120"/>
      <c r="L61" s="123" t="s">
        <v>12</v>
      </c>
      <c r="M61" s="120"/>
      <c r="N61" s="124"/>
      <c r="O61" s="125"/>
    </row>
    <row r="62" spans="1:15" ht="15.6" customHeight="1">
      <c r="A62" s="7"/>
      <c r="B62" s="119" t="s">
        <v>13</v>
      </c>
      <c r="C62" s="120"/>
      <c r="D62" s="124"/>
      <c r="E62" s="120"/>
      <c r="F62" s="124"/>
      <c r="G62" s="120"/>
      <c r="H62" s="123" t="s">
        <v>14</v>
      </c>
      <c r="I62" s="120"/>
      <c r="J62" s="124"/>
      <c r="K62" s="120"/>
      <c r="L62" s="123" t="s">
        <v>15</v>
      </c>
      <c r="M62" s="120"/>
      <c r="N62" s="124"/>
      <c r="O62" s="125"/>
    </row>
    <row r="63" spans="1:15" ht="15.6" customHeight="1">
      <c r="A63" s="7"/>
      <c r="B63" s="119" t="s">
        <v>16</v>
      </c>
      <c r="C63" s="126"/>
      <c r="D63" s="124"/>
      <c r="E63" s="120"/>
      <c r="F63" s="124"/>
      <c r="G63" s="120"/>
      <c r="H63" s="123" t="s">
        <v>17</v>
      </c>
      <c r="I63" s="120"/>
      <c r="J63" s="124"/>
      <c r="K63" s="120"/>
      <c r="L63" s="124"/>
      <c r="M63" s="120"/>
      <c r="N63" s="124"/>
      <c r="O63" s="125"/>
    </row>
    <row r="64" spans="1:15" ht="20.25" customHeight="1" thickBot="1">
      <c r="A64" s="7"/>
      <c r="B64" s="329" t="s">
        <v>18</v>
      </c>
      <c r="C64" s="330"/>
      <c r="D64" s="330"/>
      <c r="E64" s="330"/>
      <c r="F64" s="330"/>
      <c r="G64" s="330"/>
      <c r="H64" s="330"/>
      <c r="I64" s="330"/>
      <c r="J64" s="330"/>
      <c r="K64" s="330"/>
      <c r="L64" s="330"/>
      <c r="M64" s="330"/>
      <c r="N64" s="330"/>
      <c r="O64" s="331"/>
    </row>
    <row r="65" spans="1:2" ht="45" customHeight="1">
      <c r="A65" s="7"/>
      <c r="B65" s="11"/>
    </row>
  </sheetData>
  <mergeCells count="3">
    <mergeCell ref="B2:O2"/>
    <mergeCell ref="B64:O64"/>
    <mergeCell ref="B58:O58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62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Administrator</cp:lastModifiedBy>
  <cp:lastPrinted>2026-04-27T11:58:45Z</cp:lastPrinted>
  <dcterms:created xsi:type="dcterms:W3CDTF">2024-01-18T09:07:00Z</dcterms:created>
  <dcterms:modified xsi:type="dcterms:W3CDTF">2026-04-30T18:10:46Z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